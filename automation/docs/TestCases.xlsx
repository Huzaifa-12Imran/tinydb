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Automated Test Index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<sst xmlns="http://schemas.openxmlformats.org/spreadsheetml/2006/main" count="1313" uniqueCount="560">
  <si>
    <t xml:space="preserve">Test Case ID</t>
  </si>
  <si>
    <t xml:space="preserve">Module</t>
  </si>
  <si>
    <t xml:space="preserve">Feature</t>
  </si>
  <si>
    <t xml:space="preserve">Technique</t>
  </si>
  <si>
    <t xml:space="preserve">Description</t>
  </si>
  <si>
    <t xml:space="preserve">Steps</t>
  </si>
  <si>
    <t xml:space="preserve">Test Data File</t>
  </si>
  <si>
    <t xml:space="preserve">Data Rows</t>
  </si>
  <si>
    <t xml:space="preserve">Expected Result</t>
  </si>
  <si>
    <t xml:space="preserve">Automated Test</t>
  </si>
  <si>
    <t xml:space="preserve">TC-CSV-01</t>
  </si>
  <si>
    <t xml:space="preserve">tinydb/queries.py</t>
  </si>
  <si>
    <t xml:space="preserve">Query comparison operators</t>
  </si>
  <si>
    <t xml:space="preserve">ECP, BVA</t>
  </si>
  <si>
    <t xml:space="preserve">Build a query from operator, field and value in each CSV row and evaluate it against the document in the row. Includes boundary values 17, 18, 19 and a missing field.</t>
  </si>
  <si>
    <t xml:space="preserve">1. Read a row of query_cases.csv
2. Build where(field) &lt;operator&gt; rhs
3. Evaluate the query on document_json
4. Compare with expected</t>
  </si>
  <si>
    <t xml:space="preserve">data/query_cases.csv</t>
  </si>
  <si>
    <t xml:space="preserve">Query result equals the expected column for every row</t>
  </si>
  <si>
    <t xml:space="preserve">unit_tests/test_csv_driven.py::test_query_operator_from_csv</t>
  </si>
  <si>
    <t xml:space="preserve">TC-CSV-02</t>
  </si>
  <si>
    <t xml:space="preserve">tinydb/utils.py</t>
  </si>
  <si>
    <t xml:space="preserve">LRUCache eviction</t>
  </si>
  <si>
    <t xml:space="preserve">BVA</t>
  </si>
  <si>
    <t xml:space="preserve">Insert the keys of each row into an LRUCache with the given capacity (blank means unlimited, 0 and -1 are invalid boundaries).</t>
  </si>
  <si>
    <t xml:space="preserve">1. Read a row of lru_cases.csv
2. Create LRUCache(capacity)
3. Set every key in order
4. Read cache.lru</t>
  </si>
  <si>
    <t xml:space="preserve">data/lru_cases.csv</t>
  </si>
  <si>
    <t xml:space="preserve">cache.lru equals the expected_lru column (oldest first)</t>
  </si>
  <si>
    <t xml:space="preserve">unit_tests/test_csv_driven.py::test_lru_eviction_from_csv</t>
  </si>
  <si>
    <t xml:space="preserve">TC-CSV-03</t>
  </si>
  <si>
    <t xml:space="preserve">tinydb/middlewares.py</t>
  </si>
  <si>
    <t xml:space="preserve">CachingMiddleware flush threshold</t>
  </si>
  <si>
    <t xml:space="preserve">Write N times to a CachingMiddleware with a given WRITE_CACHE_SIZE and count how often the real storage was written.</t>
  </si>
  <si>
    <t xml:space="preserve">1. Read a row of cache_flush_cases.csv
2. Create CachingMiddleware over a counting storage
3. Set WRITE_CACHE_SIZE
4. Call write() the given number of times</t>
  </si>
  <si>
    <t xml:space="preserve">data/cache_flush_cases.csv</t>
  </si>
  <si>
    <t xml:space="preserve">Storage write count equals expected_storage_writes</t>
  </si>
  <si>
    <t xml:space="preserve">unit_tests/test_csv_driven.py::test_cache_flush_threshold_from_csv</t>
  </si>
  <si>
    <t xml:space="preserve">TC-CSV-04</t>
  </si>
  <si>
    <t xml:space="preserve">freeze() type conversion</t>
  </si>
  <si>
    <t xml:space="preserve">ECP</t>
  </si>
  <si>
    <t xml:space="preserve">Freeze the JSON value of each row and check the resulting type and hashability.</t>
  </si>
  <si>
    <t xml:space="preserve">1. Read a row of freeze_cases.csv
2. json.loads(input_json)
3. Call freeze()
4. Check type name and hash()</t>
  </si>
  <si>
    <t xml:space="preserve">data/freeze_cases.csv</t>
  </si>
  <si>
    <t xml:space="preserve">Type name equals expected_type and hash() succeeds when hashable is true</t>
  </si>
  <si>
    <t xml:space="preserve">unit_tests/test_csv_driven.py::test_freeze_type_from_csv</t>
  </si>
  <si>
    <t xml:space="preserve">ID</t>
  </si>
  <si>
    <t xml:space="preserve">Function / Class Under Test</t>
  </si>
  <si>
    <t xml:space="preserve">Scenario</t>
  </si>
  <si>
    <t xml:space="preserve">Data Source</t>
  </si>
  <si>
    <t xml:space="preserve">Cases</t>
  </si>
  <si>
    <t xml:space="preserve">Test File</t>
  </si>
  <si>
    <t xml:space="preserve">Node ID</t>
  </si>
  <si>
    <t xml:space="preserve">UT-001</t>
  </si>
  <si>
    <t xml:space="preserve">Middleware.__call__/__getattr__</t>
  </si>
  <si>
    <t xml:space="preserve">call creates the storage and returns the middleware</t>
  </si>
  <si>
    <t xml:space="preserve">smoke, ECP</t>
  </si>
  <si>
    <t xml:space="preserve">Inline / parametrize</t>
  </si>
  <si>
    <t xml:space="preserve">test_middlewares.py</t>
  </si>
  <si>
    <t xml:space="preserve">unit_tests/test_middlewares.py::TestMiddlewareBase::test_call_creates_the_storage_and_returns_the_middleware</t>
  </si>
  <si>
    <t xml:space="preserve">UT-002</t>
  </si>
  <si>
    <t xml:space="preserve">CachingMiddleware.read</t>
  </si>
  <si>
    <t xml:space="preserve">first read of empty storage returns none</t>
  </si>
  <si>
    <t xml:space="preserve">unit_tests/test_middlewares.py::TestCachingRead::test_first_read_of_empty_storage_returns_none</t>
  </si>
  <si>
    <t xml:space="preserve">UT-003</t>
  </si>
  <si>
    <t xml:space="preserve">CachingMiddleware + TinyDB</t>
  </si>
  <si>
    <t xml:space="preserve">documents are readable through the cache</t>
  </si>
  <si>
    <t xml:space="preserve">unit_tests/test_middlewares.py::TestCachingWithTinyDB::test_documents_are_readable_through_the_cache</t>
  </si>
  <si>
    <t xml:space="preserve">UT-004</t>
  </si>
  <si>
    <t xml:space="preserve">Query path building</t>
  </si>
  <si>
    <t xml:space="preserve">evaluating an empty query raises runtimeerror</t>
  </si>
  <si>
    <t xml:space="preserve">smoke, negative</t>
  </si>
  <si>
    <t xml:space="preserve">test_queries.py</t>
  </si>
  <si>
    <t xml:space="preserve">unit_tests/test_queries.py::TestPathBuilding::test_evaluating_an_empty_query_raises_runtimeerror</t>
  </si>
  <si>
    <t xml:space="preserve">UT-005</t>
  </si>
  <si>
    <t xml:space="preserve">Query ==, !=, &lt;, &lt;=, &gt;, &gt;=</t>
  </si>
  <si>
    <t xml:space="preserve">eq matches equal value only</t>
  </si>
  <si>
    <t xml:space="preserve">unit_tests/test_queries.py::TestComparison::test_eq_matches_equal_value_only</t>
  </si>
  <si>
    <t xml:space="preserve">UT-006</t>
  </si>
  <si>
    <t xml:space="preserve">Query.exists</t>
  </si>
  <si>
    <t xml:space="preserve">exists true when key present</t>
  </si>
  <si>
    <t xml:space="preserve">unit_tests/test_queries.py::TestExists::test_exists_true_when_key_present</t>
  </si>
  <si>
    <t xml:space="preserve">UT-007</t>
  </si>
  <si>
    <t xml:space="preserve">QueryInstance &amp;, |, ~</t>
  </si>
  <si>
    <t xml:space="preserve">and truth table</t>
  </si>
  <si>
    <t xml:space="preserve">unit_tests/test_queries.py::TestCombinators::test_and_truth_table</t>
  </si>
  <si>
    <t xml:space="preserve">UT-008</t>
  </si>
  <si>
    <t xml:space="preserve">freeze()</t>
  </si>
  <si>
    <t xml:space="preserve">freeze dict returns frozendict</t>
  </si>
  <si>
    <t xml:space="preserve">test_utils_freeze.py</t>
  </si>
  <si>
    <t xml:space="preserve">unit_tests/test_utils_freeze.py::TestFreeze::test_freeze_dict_returns_frozendict</t>
  </si>
  <si>
    <t xml:space="preserve">UT-009</t>
  </si>
  <si>
    <t xml:space="preserve">LRUCache.set</t>
  </si>
  <si>
    <t xml:space="preserve">set stores value for new key</t>
  </si>
  <si>
    <t xml:space="preserve">test_utils_lrucache.py</t>
  </si>
  <si>
    <t xml:space="preserve">unit_tests/test_utils_lrucache.py::TestSet::test_set_stores_value_for_new_key</t>
  </si>
  <si>
    <t xml:space="preserve">UT-010</t>
  </si>
  <si>
    <t xml:space="preserve">LRUCache.get</t>
  </si>
  <si>
    <t xml:space="preserve">get existing key returns value</t>
  </si>
  <si>
    <t xml:space="preserve">unit_tests/test_utils_lrucache.py::TestGet::test_get_existing_key_returns_value</t>
  </si>
  <si>
    <t xml:space="preserve">UT-011</t>
  </si>
  <si>
    <t xml:space="preserve">LRUCache.clear</t>
  </si>
  <si>
    <t xml:space="preserve">clear removes all items</t>
  </si>
  <si>
    <t xml:space="preserve">unit_tests/test_utils_lrucache.py::TestClear::test_clear_removes_all_items</t>
  </si>
  <si>
    <t xml:space="preserve">UT-012</t>
  </si>
  <si>
    <t xml:space="preserve">unknown attributes are forwarded to the storage</t>
  </si>
  <si>
    <t xml:space="preserve">unit_tests/test_middlewares.py::TestMiddlewareBase::test_unknown_attributes_are_forwarded_to_the_storage</t>
  </si>
  <si>
    <t xml:space="preserve">UT-013</t>
  </si>
  <si>
    <t xml:space="preserve">read is forwarded to the storage</t>
  </si>
  <si>
    <t xml:space="preserve">unit_tests/test_middlewares.py::TestMiddlewareBase::test_read_is_forwarded_to_the_storage</t>
  </si>
  <si>
    <t xml:space="preserve">UT-014</t>
  </si>
  <si>
    <t xml:space="preserve">call forwards constructor arguments</t>
  </si>
  <si>
    <t xml:space="preserve">unit_tests/test_middlewares.py::TestMiddlewareBase::test_call_forwards_constructor_arguments</t>
  </si>
  <si>
    <t xml:space="preserve">UT-015</t>
  </si>
  <si>
    <t xml:space="preserve">middlewares can be nested</t>
  </si>
  <si>
    <t xml:space="preserve">unit_tests/test_middlewares.py::TestMiddlewareBase::test_middlewares_can_be_nested</t>
  </si>
  <si>
    <t xml:space="preserve">UT-016</t>
  </si>
  <si>
    <t xml:space="preserve">read serves from cache after the first read</t>
  </si>
  <si>
    <t xml:space="preserve">unit_tests/test_middlewares.py::TestCachingRead::test_read_serves_from_cache_after_the_first_read</t>
  </si>
  <si>
    <t xml:space="preserve">UT-017</t>
  </si>
  <si>
    <t xml:space="preserve">read loads existing storage content</t>
  </si>
  <si>
    <t xml:space="preserve">unit_tests/test_middlewares.py::TestCachingRead::test_read_loads_existing_storage_content</t>
  </si>
  <si>
    <t xml:space="preserve">UT-018</t>
  </si>
  <si>
    <t xml:space="preserve">read returns what was last written</t>
  </si>
  <si>
    <t xml:space="preserve">unit_tests/test_middlewares.py::TestCachingRead::test_read_returns_what_was_last_written</t>
  </si>
  <si>
    <t xml:space="preserve">UT-019</t>
  </si>
  <si>
    <t xml:space="preserve">CachingMiddleware.write</t>
  </si>
  <si>
    <t xml:space="preserve">write goes to cache not to storage</t>
  </si>
  <si>
    <t xml:space="preserve">unit_tests/test_middlewares.py::TestCachingWrite::test_write_goes_to_cache_not_to_storage</t>
  </si>
  <si>
    <t xml:space="preserve">UT-020</t>
  </si>
  <si>
    <t xml:space="preserve">CachingMiddleware.close</t>
  </si>
  <si>
    <t xml:space="preserve">close flushes pending writes</t>
  </si>
  <si>
    <t xml:space="preserve">unit_tests/test_middlewares.py::TestCachingClose::test_close_flushes_pending_writes</t>
  </si>
  <si>
    <t xml:space="preserve">UT-021</t>
  </si>
  <si>
    <t xml:space="preserve">close without pending writes does not write</t>
  </si>
  <si>
    <t xml:space="preserve">unit_tests/test_middlewares.py::TestCachingClose::test_close_without_pending_writes_does_not_write</t>
  </si>
  <si>
    <t xml:space="preserve">UT-022</t>
  </si>
  <si>
    <t xml:space="preserve">close is idempotent</t>
  </si>
  <si>
    <t xml:space="preserve">unit_tests/test_middlewares.py::TestCachingClose::test_close_is_idempotent</t>
  </si>
  <si>
    <t xml:space="preserve">UT-023</t>
  </si>
  <si>
    <t xml:space="preserve">close drops the cache</t>
  </si>
  <si>
    <t xml:space="preserve">unit_tests/test_middlewares.py::TestCachingClose::test_close_drops_the_cache</t>
  </si>
  <si>
    <t xml:space="preserve">UT-024</t>
  </si>
  <si>
    <t xml:space="preserve">close closes the underlying storage</t>
  </si>
  <si>
    <t xml:space="preserve">unit_tests/test_middlewares.py::TestCachingClose::test_close_closes_the_underlying_storage</t>
  </si>
  <si>
    <t xml:space="preserve">UT-025</t>
  </si>
  <si>
    <t xml:space="preserve">json file is only written on close</t>
  </si>
  <si>
    <t xml:space="preserve">unit_tests/test_middlewares.py::TestCachingWithTinyDB::test_json_file_is_only_written_on_close</t>
  </si>
  <si>
    <t xml:space="preserve">UT-026</t>
  </si>
  <si>
    <t xml:space="preserve">data survives a reopen after close</t>
  </si>
  <si>
    <t xml:space="preserve">unit_tests/test_middlewares.py::TestCachingWithTinyDB::test_data_survives_a_reopen_after_close</t>
  </si>
  <si>
    <t xml:space="preserve">UT-027</t>
  </si>
  <si>
    <t xml:space="preserve">attribute access builds nested path</t>
  </si>
  <si>
    <t xml:space="preserve">unit_tests/test_queries.py::TestPathBuilding::test_attribute_access_builds_nested_path</t>
  </si>
  <si>
    <t xml:space="preserve">UT-028</t>
  </si>
  <si>
    <t xml:space="preserve">item access builds the same path as attribute access</t>
  </si>
  <si>
    <t xml:space="preserve">unit_tests/test_queries.py::TestPathBuilding::test_item_access_builds_the_same_path_as_attribute_access</t>
  </si>
  <si>
    <t xml:space="preserve">UT-029</t>
  </si>
  <si>
    <t xml:space="preserve">where is shorthand for item access</t>
  </si>
  <si>
    <t xml:space="preserve">unit_tests/test_queries.py::TestPathBuilding::test_where_is_shorthand_for_item_access</t>
  </si>
  <si>
    <t xml:space="preserve">UT-030</t>
  </si>
  <si>
    <t xml:space="preserve">item access can reach a field named like a method</t>
  </si>
  <si>
    <t xml:space="preserve">unit_tests/test_queries.py::TestPathBuilding::test_item_access_can_reach_a_field_named_like_a_method</t>
  </si>
  <si>
    <t xml:space="preserve">UT-031</t>
  </si>
  <si>
    <t xml:space="preserve">missing intermediate key evaluates to false</t>
  </si>
  <si>
    <t xml:space="preserve">unit_tests/test_queries.py::TestPathBuilding::test_missing_intermediate_key_evaluates_to_false</t>
  </si>
  <si>
    <t xml:space="preserve">UT-032</t>
  </si>
  <si>
    <t xml:space="preserve">path through a non mapping evaluates to false</t>
  </si>
  <si>
    <t xml:space="preserve">unit_tests/test_queries.py::TestPathBuilding::test_path_through_a_non_mapping_evaluates_to_false</t>
  </si>
  <si>
    <t xml:space="preserve">UT-033</t>
  </si>
  <si>
    <t xml:space="preserve">ne matches different value only</t>
  </si>
  <si>
    <t xml:space="preserve">unit_tests/test_queries.py::TestComparison::test_ne_matches_different_value_only</t>
  </si>
  <si>
    <t xml:space="preserve">UT-034</t>
  </si>
  <si>
    <t xml:space="preserve">missing field never matches eq</t>
  </si>
  <si>
    <t xml:space="preserve">unit_tests/test_queries.py::TestComparison::test_missing_field_never_matches_eq</t>
  </si>
  <si>
    <t xml:space="preserve">UT-035</t>
  </si>
  <si>
    <t xml:space="preserve">missing field never matches ne</t>
  </si>
  <si>
    <t xml:space="preserve">unit_tests/test_queries.py::TestComparison::test_missing_field_never_matches_ne</t>
  </si>
  <si>
    <t xml:space="preserve">UT-036</t>
  </si>
  <si>
    <t xml:space="preserve">float and int compare numerically</t>
  </si>
  <si>
    <t xml:space="preserve">unit_tests/test_queries.py::TestComparison::test_float_and_int_compare_numerically</t>
  </si>
  <si>
    <t xml:space="preserve">UT-037</t>
  </si>
  <si>
    <t xml:space="preserve">exists false when key absent</t>
  </si>
  <si>
    <t xml:space="preserve">unit_tests/test_queries.py::TestExists::test_exists_false_when_key_absent</t>
  </si>
  <si>
    <t xml:space="preserve">UT-038</t>
  </si>
  <si>
    <t xml:space="preserve">exists true when value is none</t>
  </si>
  <si>
    <t xml:space="preserve">unit_tests/test_queries.py::TestExists::test_exists_true_when_value_is_none</t>
  </si>
  <si>
    <t xml:space="preserve">UT-039</t>
  </si>
  <si>
    <t xml:space="preserve">exists works on nested path</t>
  </si>
  <si>
    <t xml:space="preserve">unit_tests/test_queries.py::TestExists::test_exists_works_on_nested_path</t>
  </si>
  <si>
    <t xml:space="preserve">UT-040</t>
  </si>
  <si>
    <t xml:space="preserve">Query.matches/search</t>
  </si>
  <si>
    <t xml:space="preserve">matches full pattern</t>
  </si>
  <si>
    <t xml:space="preserve">unit_tests/test_queries.py::TestMatchesAndSearch::test_matches_full_pattern</t>
  </si>
  <si>
    <t xml:space="preserve">UT-041</t>
  </si>
  <si>
    <t xml:space="preserve">matches rejects non matching string</t>
  </si>
  <si>
    <t xml:space="preserve">unit_tests/test_queries.py::TestMatchesAndSearch::test_matches_rejects_non_matching_string</t>
  </si>
  <si>
    <t xml:space="preserve">UT-042</t>
  </si>
  <si>
    <t xml:space="preserve">matches anchors at the start only</t>
  </si>
  <si>
    <t xml:space="preserve">unit_tests/test_queries.py::TestMatchesAndSearch::test_matches_anchors_at_the_start_only</t>
  </si>
  <si>
    <t xml:space="preserve">UT-043</t>
  </si>
  <si>
    <t xml:space="preserve">matches honours regex flags</t>
  </si>
  <si>
    <t xml:space="preserve">unit_tests/test_queries.py::TestMatchesAndSearch::test_matches_honours_regex_flags</t>
  </si>
  <si>
    <t xml:space="preserve">UT-044</t>
  </si>
  <si>
    <t xml:space="preserve">search finds pattern anywhere</t>
  </si>
  <si>
    <t xml:space="preserve">unit_tests/test_queries.py::TestMatchesAndSearch::test_search_finds_pattern_anywhere</t>
  </si>
  <si>
    <t xml:space="preserve">UT-045</t>
  </si>
  <si>
    <t xml:space="preserve">search false when pattern absent</t>
  </si>
  <si>
    <t xml:space="preserve">unit_tests/test_queries.py::TestMatchesAndSearch::test_search_false_when_pattern_absent</t>
  </si>
  <si>
    <t xml:space="preserve">UT-046</t>
  </si>
  <si>
    <t xml:space="preserve">Query.test/map</t>
  </si>
  <si>
    <t xml:space="preserve">runs the function on the field value</t>
  </si>
  <si>
    <t xml:space="preserve">unit_tests/test_queries.py::TestCustomTest::test_test_runs_the_function_on_the_field_value</t>
  </si>
  <si>
    <t xml:space="preserve">UT-047</t>
  </si>
  <si>
    <t xml:space="preserve">forwards extra arguments</t>
  </si>
  <si>
    <t xml:space="preserve">unit_tests/test_queries.py::TestCustomTest::test_test_forwards_extra_arguments</t>
  </si>
  <si>
    <t xml:space="preserve">UT-048</t>
  </si>
  <si>
    <t xml:space="preserve">on missing field is false without calling the function</t>
  </si>
  <si>
    <t xml:space="preserve">unit_tests/test_queries.py::TestCustomTest::test_test_on_missing_field_is_false_without_calling_the_function</t>
  </si>
  <si>
    <t xml:space="preserve">UT-049</t>
  </si>
  <si>
    <t xml:space="preserve">map applies a function to the path value</t>
  </si>
  <si>
    <t xml:space="preserve">unit_tests/test_queries.py::TestCustomTest::test_map_applies_a_function_to_the_path_value</t>
  </si>
  <si>
    <t xml:space="preserve">UT-050</t>
  </si>
  <si>
    <t xml:space="preserve">map makes the query uncacheable</t>
  </si>
  <si>
    <t xml:space="preserve">unit_tests/test_queries.py::TestCustomTest::test_map_makes_the_query_uncacheable</t>
  </si>
  <si>
    <t xml:space="preserve">UT-051</t>
  </si>
  <si>
    <t xml:space="preserve">Query.any/all/one_of</t>
  </si>
  <si>
    <t xml:space="preserve">any with list matches when one element overlaps</t>
  </si>
  <si>
    <t xml:space="preserve">unit_tests/test_queries.py::TestSequenceQueries::test_any_with_list_matches_when_one_element_overlaps</t>
  </si>
  <si>
    <t xml:space="preserve">UT-052</t>
  </si>
  <si>
    <t xml:space="preserve">any with list false when no overlap</t>
  </si>
  <si>
    <t xml:space="preserve">unit_tests/test_queries.py::TestSequenceQueries::test_any_with_list_false_when_no_overlap</t>
  </si>
  <si>
    <t xml:space="preserve">UT-053</t>
  </si>
  <si>
    <t xml:space="preserve">any with subquery</t>
  </si>
  <si>
    <t xml:space="preserve">unit_tests/test_queries.py::TestSequenceQueries::test_any_with_subquery</t>
  </si>
  <si>
    <t xml:space="preserve">UT-054</t>
  </si>
  <si>
    <t xml:space="preserve">all with list requires every item present</t>
  </si>
  <si>
    <t xml:space="preserve">unit_tests/test_queries.py::TestSequenceQueries::test_all_with_list_requires_every_item_present</t>
  </si>
  <si>
    <t xml:space="preserve">UT-055</t>
  </si>
  <si>
    <t xml:space="preserve">all with subquery</t>
  </si>
  <si>
    <t xml:space="preserve">unit_tests/test_queries.py::TestSequenceQueries::test_all_with_subquery</t>
  </si>
  <si>
    <t xml:space="preserve">UT-056</t>
  </si>
  <si>
    <t xml:space="preserve">one of matches value in list</t>
  </si>
  <si>
    <t xml:space="preserve">unit_tests/test_queries.py::TestSequenceQueries::test_one_of_matches_value_in_list</t>
  </si>
  <si>
    <t xml:space="preserve">UT-057</t>
  </si>
  <si>
    <t xml:space="preserve">Query.fragment/noop</t>
  </si>
  <si>
    <t xml:space="preserve">fragment matches when all fragment keys equal</t>
  </si>
  <si>
    <t xml:space="preserve">unit_tests/test_queries.py::TestFragmentAndNoop::test_fragment_matches_when_all_fragment_keys_equal</t>
  </si>
  <si>
    <t xml:space="preserve">UT-058</t>
  </si>
  <si>
    <t xml:space="preserve">fragment false on value mismatch</t>
  </si>
  <si>
    <t xml:space="preserve">unit_tests/test_queries.py::TestFragmentAndNoop::test_fragment_false_on_value_mismatch</t>
  </si>
  <si>
    <t xml:space="preserve">UT-059</t>
  </si>
  <si>
    <t xml:space="preserve">fragment false when key missing</t>
  </si>
  <si>
    <t xml:space="preserve">unit_tests/test_queries.py::TestFragmentAndNoop::test_fragment_false_when_key_missing</t>
  </si>
  <si>
    <t xml:space="preserve">UT-060</t>
  </si>
  <si>
    <t xml:space="preserve">noop always true</t>
  </si>
  <si>
    <t xml:space="preserve">unit_tests/test_queries.py::TestFragmentAndNoop::test_noop_always_true</t>
  </si>
  <si>
    <t xml:space="preserve">UT-061</t>
  </si>
  <si>
    <t xml:space="preserve">noop is neutral when combined with and</t>
  </si>
  <si>
    <t xml:space="preserve">unit_tests/test_queries.py::TestFragmentAndNoop::test_noop_is_neutral_when_combined_with_and</t>
  </si>
  <si>
    <t xml:space="preserve">UT-062</t>
  </si>
  <si>
    <t xml:space="preserve">or truth table</t>
  </si>
  <si>
    <t xml:space="preserve">unit_tests/test_queries.py::TestCombinators::test_or_truth_table</t>
  </si>
  <si>
    <t xml:space="preserve">UT-063</t>
  </si>
  <si>
    <t xml:space="preserve">not inverts result</t>
  </si>
  <si>
    <t xml:space="preserve">unit_tests/test_queries.py::TestCombinators::test_not_inverts_result</t>
  </si>
  <si>
    <t xml:space="preserve">UT-064</t>
  </si>
  <si>
    <t xml:space="preserve">double negation restores result</t>
  </si>
  <si>
    <t xml:space="preserve">unit_tests/test_queries.py::TestCombinators::test_double_negation_restores_result</t>
  </si>
  <si>
    <t xml:space="preserve">UT-065</t>
  </si>
  <si>
    <t xml:space="preserve">combining returns a queryinstance</t>
  </si>
  <si>
    <t xml:space="preserve">unit_tests/test_queries.py::TestCombinators::test_combining_returns_a_queryinstance</t>
  </si>
  <si>
    <t xml:space="preserve">UT-066</t>
  </si>
  <si>
    <t xml:space="preserve">QueryInstance hash/eq/cacheable</t>
  </si>
  <si>
    <t xml:space="preserve">same query has same hash and is equal</t>
  </si>
  <si>
    <t xml:space="preserve">unit_tests/test_queries.py::TestHashingAndCaching::test_same_query_has_same_hash_and_is_equal</t>
  </si>
  <si>
    <t xml:space="preserve">UT-067</t>
  </si>
  <si>
    <t xml:space="preserve">different value gives different query</t>
  </si>
  <si>
    <t xml:space="preserve">unit_tests/test_queries.py::TestHashingAndCaching::test_different_value_gives_different_query</t>
  </si>
  <si>
    <t xml:space="preserve">UT-068</t>
  </si>
  <si>
    <t xml:space="preserve">and is commutative for equality and hash</t>
  </si>
  <si>
    <t xml:space="preserve">unit_tests/test_queries.py::TestHashingAndCaching::test_and_is_commutative_for_equality_and_hash</t>
  </si>
  <si>
    <t xml:space="preserve">UT-069</t>
  </si>
  <si>
    <t xml:space="preserve">or is commutative for equality</t>
  </si>
  <si>
    <t xml:space="preserve">unit_tests/test_queries.py::TestHashingAndCaching::test_or_is_commutative_for_equality</t>
  </si>
  <si>
    <t xml:space="preserve">UT-070</t>
  </si>
  <si>
    <t xml:space="preserve">plain comparison query is cacheable</t>
  </si>
  <si>
    <t xml:space="preserve">unit_tests/test_queries.py::TestHashingAndCaching::test_plain_comparison_query_is_cacheable</t>
  </si>
  <si>
    <t xml:space="preserve">UT-071</t>
  </si>
  <si>
    <t xml:space="preserve">uncacheable part makes a combined query uncacheable</t>
  </si>
  <si>
    <t xml:space="preserve">unit_tests/test_queries.py::TestHashingAndCaching::test_uncacheable_part_makes_a_combined_query_uncacheable</t>
  </si>
  <si>
    <t xml:space="preserve">UT-072</t>
  </si>
  <si>
    <t xml:space="preserve">queryinstance is not equal to other types</t>
  </si>
  <si>
    <t xml:space="preserve">unit_tests/test_queries.py::TestHashingAndCaching::test_queryinstance_is_not_equal_to_other_types</t>
  </si>
  <si>
    <t xml:space="preserve">UT-073</t>
  </si>
  <si>
    <t xml:space="preserve">regex flags change the query identity</t>
  </si>
  <si>
    <t xml:space="preserve">unit_tests/test_queries.py::TestHashingAndCaching::test_regex_flags_change_the_query_identity</t>
  </si>
  <si>
    <t xml:space="preserve">UT-074</t>
  </si>
  <si>
    <t xml:space="preserve">repr of empty query</t>
  </si>
  <si>
    <t xml:space="preserve">unit_tests/test_queries.py::TestHashingAndCaching::test_repr_of_empty_query</t>
  </si>
  <si>
    <t xml:space="preserve">UT-075</t>
  </si>
  <si>
    <t xml:space="preserve">freeze list returns tuple</t>
  </si>
  <si>
    <t xml:space="preserve">unit_tests/test_utils_freeze.py::TestFreeze::test_freeze_list_returns_tuple</t>
  </si>
  <si>
    <t xml:space="preserve">UT-076</t>
  </si>
  <si>
    <t xml:space="preserve">freeze tuple freezes nested list</t>
  </si>
  <si>
    <t xml:space="preserve">unit_tests/test_utils_freeze.py::TestFreeze::test_freeze_tuple_freezes_nested_list</t>
  </si>
  <si>
    <t xml:space="preserve">UT-077</t>
  </si>
  <si>
    <t xml:space="preserve">freeze set returns frozenset</t>
  </si>
  <si>
    <t xml:space="preserve">unit_tests/test_utils_freeze.py::TestFreeze::test_freeze_set_returns_frozenset</t>
  </si>
  <si>
    <t xml:space="preserve">UT-078</t>
  </si>
  <si>
    <t xml:space="preserve">freeze passes scalars through unchanged</t>
  </si>
  <si>
    <t xml:space="preserve">unit_tests/test_utils_freeze.py::TestFreeze::test_freeze_passes_scalars_through_unchanged</t>
  </si>
  <si>
    <t xml:space="preserve">UT-079</t>
  </si>
  <si>
    <t xml:space="preserve">freeze is recursive through dict and list</t>
  </si>
  <si>
    <t xml:space="preserve">unit_tests/test_utils_freeze.py::TestFreeze::test_freeze_is_recursive_through_dict_and_list</t>
  </si>
  <si>
    <t xml:space="preserve">UT-080</t>
  </si>
  <si>
    <t xml:space="preserve">frozen nested structure is hashable</t>
  </si>
  <si>
    <t xml:space="preserve">unit_tests/test_utils_freeze.py::TestFreeze::test_frozen_nested_structure_is_hashable</t>
  </si>
  <si>
    <t xml:space="preserve">UT-081</t>
  </si>
  <si>
    <t xml:space="preserve">freeze does not modify the original</t>
  </si>
  <si>
    <t xml:space="preserve">unit_tests/test_utils_freeze.py::TestFreeze::test_freeze_does_not_modify_the_original</t>
  </si>
  <si>
    <t xml:space="preserve">UT-082</t>
  </si>
  <si>
    <t xml:space="preserve">FrozenDict</t>
  </si>
  <si>
    <t xml:space="preserve">equal dicts have equal hashes regardless of insertion order</t>
  </si>
  <si>
    <t xml:space="preserve">unit_tests/test_utils_freeze.py::TestFrozenDict::test_equal_dicts_have_equal_hashes_regardless_of_insertion_order</t>
  </si>
  <si>
    <t xml:space="preserve">UT-083</t>
  </si>
  <si>
    <t xml:space="preserve">different dicts have different hashes</t>
  </si>
  <si>
    <t xml:space="preserve">unit_tests/test_utils_freeze.py::TestFrozenDict::test_different_dicts_have_different_hashes</t>
  </si>
  <si>
    <t xml:space="preserve">UT-084</t>
  </si>
  <si>
    <t xml:space="preserve">frozendict can be used as dict key</t>
  </si>
  <si>
    <t xml:space="preserve">unit_tests/test_utils_freeze.py::TestFrozenDict::test_frozendict_can_be_used_as_dict_key</t>
  </si>
  <si>
    <t xml:space="preserve">UT-085</t>
  </si>
  <si>
    <t xml:space="preserve">reading still works</t>
  </si>
  <si>
    <t xml:space="preserve">unit_tests/test_utils_freeze.py::TestFrozenDict::test_reading_still_works</t>
  </si>
  <si>
    <t xml:space="preserve">UT-086</t>
  </si>
  <si>
    <t xml:space="preserve">set existing key overwrites value and keeps length</t>
  </si>
  <si>
    <t xml:space="preserve">unit_tests/test_utils_lrucache.py::TestSet::test_set_existing_key_overwrites_value_and_keeps_length</t>
  </si>
  <si>
    <t xml:space="preserve">UT-087</t>
  </si>
  <si>
    <t xml:space="preserve">set existing key moves it to most recent</t>
  </si>
  <si>
    <t xml:space="preserve">unit_tests/test_utils_lrucache.py::TestSet::test_set_existing_key_moves_it_to_most_recent</t>
  </si>
  <si>
    <t xml:space="preserve">UT-088</t>
  </si>
  <si>
    <t xml:space="preserve">set evicts least recently used key first</t>
  </si>
  <si>
    <t xml:space="preserve">unit_tests/test_utils_lrucache.py::TestSet::test_set_evicts_least_recently_used_key_first</t>
  </si>
  <si>
    <t xml:space="preserve">UT-089</t>
  </si>
  <si>
    <t xml:space="preserve">set with unlimited capacity never evicts</t>
  </si>
  <si>
    <t xml:space="preserve">unit_tests/test_utils_lrucache.py::TestSet::test_set_with_unlimited_capacity_never_evicts</t>
  </si>
  <si>
    <t xml:space="preserve">UT-090</t>
  </si>
  <si>
    <t xml:space="preserve">set overwrite on full cache does not evict</t>
  </si>
  <si>
    <t xml:space="preserve">unit_tests/test_utils_lrucache.py::TestSet::test_set_overwrite_on_full_cache_does_not_evict</t>
  </si>
  <si>
    <t xml:space="preserve">UT-091</t>
  </si>
  <si>
    <t xml:space="preserve">get missing key returns none by default</t>
  </si>
  <si>
    <t xml:space="preserve">unit_tests/test_utils_lrucache.py::TestGet::test_get_missing_key_returns_none_by_default</t>
  </si>
  <si>
    <t xml:space="preserve">UT-092</t>
  </si>
  <si>
    <t xml:space="preserve">get missing key returns given default</t>
  </si>
  <si>
    <t xml:space="preserve">unit_tests/test_utils_lrucache.py::TestGet::test_get_missing_key_returns_given_default</t>
  </si>
  <si>
    <t xml:space="preserve">UT-093</t>
  </si>
  <si>
    <t xml:space="preserve">get refreshes recency so other key is evicted</t>
  </si>
  <si>
    <t xml:space="preserve">unit_tests/test_utils_lrucache.py::TestGet::test_get_refreshes_recency_so_other_key_is_evicted</t>
  </si>
  <si>
    <t xml:space="preserve">UT-094</t>
  </si>
  <si>
    <t xml:space="preserve">get missing key does not change order</t>
  </si>
  <si>
    <t xml:space="preserve">unit_tests/test_utils_lrucache.py::TestGet::test_get_missing_key_does_not_change_order</t>
  </si>
  <si>
    <t xml:space="preserve">UT-095</t>
  </si>
  <si>
    <t xml:space="preserve">get stored none returns none not default</t>
  </si>
  <si>
    <t xml:space="preserve">unit_tests/test_utils_lrucache.py::TestGet::test_get_stored_none_returns_none_not_default</t>
  </si>
  <si>
    <t xml:space="preserve">UT-096</t>
  </si>
  <si>
    <t xml:space="preserve">get returns falsy stored values</t>
  </si>
  <si>
    <t xml:space="preserve">unit_tests/test_utils_lrucache.py::TestGet::test_get_returns_falsy_stored_values</t>
  </si>
  <si>
    <t xml:space="preserve">UT-097</t>
  </si>
  <si>
    <t xml:space="preserve">LRUCache.__getitem__/__setitem__</t>
  </si>
  <si>
    <t xml:space="preserve">getitem existing key returns value</t>
  </si>
  <si>
    <t xml:space="preserve">unit_tests/test_utils_lrucache.py::TestGetItem::test_getitem_existing_key_returns_value</t>
  </si>
  <si>
    <t xml:space="preserve">UT-098</t>
  </si>
  <si>
    <t xml:space="preserve">getitem refreshes recency</t>
  </si>
  <si>
    <t xml:space="preserve">unit_tests/test_utils_lrucache.py::TestGetItem::test_getitem_refreshes_recency</t>
  </si>
  <si>
    <t xml:space="preserve">UT-099</t>
  </si>
  <si>
    <t xml:space="preserve">getitem works for stored none</t>
  </si>
  <si>
    <t xml:space="preserve">unit_tests/test_utils_lrucache.py::TestGetItem::test_getitem_works_for_stored_none</t>
  </si>
  <si>
    <t xml:space="preserve">UT-100</t>
  </si>
  <si>
    <t xml:space="preserve">setitem is equivalent to set</t>
  </si>
  <si>
    <t xml:space="preserve">unit_tests/test_utils_lrucache.py::TestGetItem::test_setitem_is_equivalent_to_set</t>
  </si>
  <si>
    <t xml:space="preserve">UT-101</t>
  </si>
  <si>
    <t xml:space="preserve">LRUCache.__delitem__/pop</t>
  </si>
  <si>
    <t xml:space="preserve">delitem removes key</t>
  </si>
  <si>
    <t xml:space="preserve">unit_tests/test_utils_lrucache.py::TestDelete::test_delitem_removes_key</t>
  </si>
  <si>
    <t xml:space="preserve">UT-102</t>
  </si>
  <si>
    <t xml:space="preserve">delitem frees a slot so no eviction happens</t>
  </si>
  <si>
    <t xml:space="preserve">unit_tests/test_utils_lrucache.py::TestDelete::test_delitem_frees_a_slot_so_no_eviction_happens</t>
  </si>
  <si>
    <t xml:space="preserve">UT-103</t>
  </si>
  <si>
    <t xml:space="preserve">deleting every key leaves empty cache</t>
  </si>
  <si>
    <t xml:space="preserve">unit_tests/test_utils_lrucache.py::TestDelete::test_deleting_every_key_leaves_empty_cache</t>
  </si>
  <si>
    <t xml:space="preserve">UT-104</t>
  </si>
  <si>
    <t xml:space="preserve">pop returns value and removes key</t>
  </si>
  <si>
    <t xml:space="preserve">unit_tests/test_utils_lrucache.py::TestDelete::test_pop_returns_value_and_removes_key</t>
  </si>
  <si>
    <t xml:space="preserve">UT-105</t>
  </si>
  <si>
    <t xml:space="preserve">cache is usable after clear</t>
  </si>
  <si>
    <t xml:space="preserve">unit_tests/test_utils_lrucache.py::TestClear::test_cache_is_usable_after_clear</t>
  </si>
  <si>
    <t xml:space="preserve">UT-106</t>
  </si>
  <si>
    <t xml:space="preserve">clear keeps the capacity limit</t>
  </si>
  <si>
    <t xml:space="preserve">unit_tests/test_utils_lrucache.py::TestClear::test_clear_keeps_the_capacity_limit</t>
  </si>
  <si>
    <t xml:space="preserve">UT-107</t>
  </si>
  <si>
    <t xml:space="preserve">clear does not touch other instances</t>
  </si>
  <si>
    <t xml:space="preserve">unit_tests/test_utils_lrucache.py::TestClear::test_clear_does_not_touch_other_instances</t>
  </si>
  <si>
    <t xml:space="preserve">UT-108</t>
  </si>
  <si>
    <t xml:space="preserve">LRUCache.lru/length/__contains__/__iter__</t>
  </si>
  <si>
    <t xml:space="preserve">lru lists oldest key first</t>
  </si>
  <si>
    <t xml:space="preserve">unit_tests/test_utils_lrucache.py::TestInspection::test_lru_lists_oldest_key_first</t>
  </si>
  <si>
    <t xml:space="preserve">UT-109</t>
  </si>
  <si>
    <t xml:space="preserve">lru returns a copy not the internal state</t>
  </si>
  <si>
    <t xml:space="preserve">unit_tests/test_utils_lrucache.py::TestInspection::test_lru_returns_a_copy_not_the_internal_state</t>
  </si>
  <si>
    <t xml:space="preserve">UT-110</t>
  </si>
  <si>
    <t xml:space="preserve">contains true for present and false for absent key</t>
  </si>
  <si>
    <t xml:space="preserve">unit_tests/test_utils_lrucache.py::TestInspection::test_contains_true_for_present_and_false_for_absent_key</t>
  </si>
  <si>
    <t xml:space="preserve">UT-111</t>
  </si>
  <si>
    <t xml:space="preserve">contains does not refresh recency</t>
  </si>
  <si>
    <t xml:space="preserve">unit_tests/test_utils_lrucache.py::TestInspection::test_contains_does_not_refresh_recency</t>
  </si>
  <si>
    <t xml:space="preserve">UT-112</t>
  </si>
  <si>
    <t xml:space="preserve">iteration follows lru order</t>
  </si>
  <si>
    <t xml:space="preserve">unit_tests/test_utils_lrucache.py::TestInspection::test_iteration_follows_lru_order</t>
  </si>
  <si>
    <t xml:space="preserve">UT-113</t>
  </si>
  <si>
    <t xml:space="preserve">update inherited from mutablemapping respects capacity</t>
  </si>
  <si>
    <t xml:space="preserve">unit_tests/test_utils_lrucache.py::TestInspection::test_update_inherited_from_mutablemapping_respects_capacity</t>
  </si>
  <si>
    <t xml:space="preserve">UT-114</t>
  </si>
  <si>
    <t xml:space="preserve">CachingMiddleware.flush</t>
  </si>
  <si>
    <t xml:space="preserve">flush writes pending data to storage</t>
  </si>
  <si>
    <t xml:space="preserve">unit_tests/test_middlewares.py::TestCachingFlush::test_flush_writes_pending_data_to_storage</t>
  </si>
  <si>
    <t xml:space="preserve">UT-115</t>
  </si>
  <si>
    <t xml:space="preserve">second flush without new writes does nothing</t>
  </si>
  <si>
    <t xml:space="preserve">unit_tests/test_middlewares.py::TestCachingFlush::test_second_flush_without_new_writes_does_nothing</t>
  </si>
  <si>
    <t xml:space="preserve">UT-116</t>
  </si>
  <si>
    <t xml:space="preserve">flush resets the modified counter</t>
  </si>
  <si>
    <t xml:space="preserve">unit_tests/test_middlewares.py::TestCachingFlush::test_flush_resets_the_modified_counter</t>
  </si>
  <si>
    <t xml:space="preserve">UT-117</t>
  </si>
  <si>
    <t xml:space="preserve">empty storage is not cached so it is read again</t>
  </si>
  <si>
    <t xml:space="preserve">unit_tests/test_middlewares.py::TestCachingRead::test_empty_storage_is_not_cached_so_it_is_read_again</t>
  </si>
  <si>
    <t xml:space="preserve">UT-118</t>
  </si>
  <si>
    <t xml:space="preserve">write below threshold does not flush</t>
  </si>
  <si>
    <t xml:space="preserve">unit_tests/test_middlewares.py::TestCachingWrite::test_write_below_threshold_does_not_flush</t>
  </si>
  <si>
    <t xml:space="preserve">UT-119</t>
  </si>
  <si>
    <t xml:space="preserve">write at threshold flushes exactly once</t>
  </si>
  <si>
    <t xml:space="preserve">unit_tests/test_middlewares.py::TestCachingWrite::test_write_at_threshold_flushes_exactly_once</t>
  </si>
  <si>
    <t xml:space="preserve">UT-120</t>
  </si>
  <si>
    <t xml:space="preserve">write one past threshold starts a new batch</t>
  </si>
  <si>
    <t xml:space="preserve">unit_tests/test_middlewares.py::TestCachingWrite::test_write_one_past_threshold_starts_a_new_batch</t>
  </si>
  <si>
    <t xml:space="preserve">UT-121</t>
  </si>
  <si>
    <t xml:space="preserve">ge boundary at 18</t>
  </si>
  <si>
    <t xml:space="preserve">unit_tests/test_queries.py::TestComparison::test_ge_boundary_at_18</t>
  </si>
  <si>
    <t xml:space="preserve">UT-122</t>
  </si>
  <si>
    <t xml:space="preserve">lt boundary at 18</t>
  </si>
  <si>
    <t xml:space="preserve">unit_tests/test_queries.py::TestComparison::test_lt_boundary_at_18</t>
  </si>
  <si>
    <t xml:space="preserve">UT-123</t>
  </si>
  <si>
    <t xml:space="preserve">le boundary at 18</t>
  </si>
  <si>
    <t xml:space="preserve">unit_tests/test_queries.py::TestComparison::test_le_boundary_at_18</t>
  </si>
  <si>
    <t xml:space="preserve">UT-124</t>
  </si>
  <si>
    <t xml:space="preserve">gt boundary at 18</t>
  </si>
  <si>
    <t xml:space="preserve">unit_tests/test_queries.py::TestComparison::test_gt_boundary_at_18</t>
  </si>
  <si>
    <t xml:space="preserve">UT-125</t>
  </si>
  <si>
    <t xml:space="preserve">exists on empty document is false</t>
  </si>
  <si>
    <t xml:space="preserve">unit_tests/test_queries.py::TestExists::test_exists_on_empty_document_is_false</t>
  </si>
  <si>
    <t xml:space="preserve">UT-126</t>
  </si>
  <si>
    <t xml:space="preserve">matches empty string against star pattern</t>
  </si>
  <si>
    <t xml:space="preserve">unit_tests/test_queries.py::TestMatchesAndSearch::test_matches_empty_string_against_star_pattern</t>
  </si>
  <si>
    <t xml:space="preserve">UT-127</t>
  </si>
  <si>
    <t xml:space="preserve">any on empty list is false</t>
  </si>
  <si>
    <t xml:space="preserve">unit_tests/test_queries.py::TestSequenceQueries::test_any_on_empty_list_is_false</t>
  </si>
  <si>
    <t xml:space="preserve">UT-128</t>
  </si>
  <si>
    <t xml:space="preserve">all with subquery on empty list is vacuously true</t>
  </si>
  <si>
    <t xml:space="preserve">unit_tests/test_queries.py::TestSequenceQueries::test_all_with_subquery_on_empty_list_is_vacuously_true</t>
  </si>
  <si>
    <t xml:space="preserve">UT-129</t>
  </si>
  <si>
    <t xml:space="preserve">all with empty required list is true</t>
  </si>
  <si>
    <t xml:space="preserve">unit_tests/test_queries.py::TestSequenceQueries::test_all_with_empty_required_list_is_true</t>
  </si>
  <si>
    <t xml:space="preserve">UT-130</t>
  </si>
  <si>
    <t xml:space="preserve">one of with empty list never matches</t>
  </si>
  <si>
    <t xml:space="preserve">unit_tests/test_queries.py::TestSequenceQueries::test_one_of_with_empty_list_never_matches</t>
  </si>
  <si>
    <t xml:space="preserve">UT-131</t>
  </si>
  <si>
    <t xml:space="preserve">empty fragment matches every document</t>
  </si>
  <si>
    <t xml:space="preserve">unit_tests/test_queries.py::TestFragmentAndNoop::test_empty_fragment_matches_every_document</t>
  </si>
  <si>
    <t xml:space="preserve">UT-132</t>
  </si>
  <si>
    <t xml:space="preserve">freeze empty containers</t>
  </si>
  <si>
    <t xml:space="preserve">unit_tests/test_utils_freeze.py::TestFreeze::test_freeze_empty_containers</t>
  </si>
  <si>
    <t xml:space="preserve">UT-133</t>
  </si>
  <si>
    <t xml:space="preserve">empty frozendict is hashable</t>
  </si>
  <si>
    <t xml:space="preserve">unit_tests/test_utils_freeze.py::TestFrozenDict::test_empty_frozendict_is_hashable</t>
  </si>
  <si>
    <t xml:space="preserve">UT-134</t>
  </si>
  <si>
    <t xml:space="preserve">set exactly capacity items keeps all</t>
  </si>
  <si>
    <t xml:space="preserve">unit_tests/test_utils_lrucache.py::TestSet::test_set_exactly_capacity_items_keeps_all</t>
  </si>
  <si>
    <t xml:space="preserve">UT-135</t>
  </si>
  <si>
    <t xml:space="preserve">set capacity plus one items evicts exactly the oldest</t>
  </si>
  <si>
    <t xml:space="preserve">unit_tests/test_utils_lrucache.py::TestSet::test_set_capacity_plus_one_items_evicts_exactly_the_oldest</t>
  </si>
  <si>
    <t xml:space="preserve">UT-136</t>
  </si>
  <si>
    <t xml:space="preserve">set with zero or negative capacity stores nothing</t>
  </si>
  <si>
    <t xml:space="preserve">unit_tests/test_utils_lrucache.py::TestSet::test_set_with_zero_or_negative_capacity_stores_nothing</t>
  </si>
  <si>
    <t xml:space="preserve">UT-137</t>
  </si>
  <si>
    <t xml:space="preserve">clear on empty cache is a noop</t>
  </si>
  <si>
    <t xml:space="preserve">unit_tests/test_utils_lrucache.py::TestClear::test_clear_on_empty_cache_is_a_noop</t>
  </si>
  <si>
    <t xml:space="preserve">UT-138</t>
  </si>
  <si>
    <t xml:space="preserve">length matches number of items</t>
  </si>
  <si>
    <t xml:space="preserve">unit_tests/test_utils_lrucache.py::TestInspection::test_length_matches_number_of_items</t>
  </si>
  <si>
    <t xml:space="preserve">UT-139</t>
  </si>
  <si>
    <t xml:space="preserve">flush without pending writes does nothing</t>
  </si>
  <si>
    <t xml:space="preserve">unit_tests/test_middlewares.py::TestCachingFlush::test_flush_without_pending_writes_does_nothing</t>
  </si>
  <si>
    <t xml:space="preserve">UT-140</t>
  </si>
  <si>
    <t xml:space="preserve">forwarding a missing attribute raises attributeerror</t>
  </si>
  <si>
    <t xml:space="preserve">negative</t>
  </si>
  <si>
    <t xml:space="preserve">unit_tests/test_middlewares.py::TestMiddlewareBase::test_forwarding_a_missing_attribute_raises_attributeerror</t>
  </si>
  <si>
    <t xml:space="preserve">UT-141</t>
  </si>
  <si>
    <t xml:space="preserve">read after close raises valueerror</t>
  </si>
  <si>
    <t xml:space="preserve">unit_tests/test_middlewares.py::TestCachingRead::test_read_after_close_raises_valueerror</t>
  </si>
  <si>
    <t xml:space="preserve">UT-142</t>
  </si>
  <si>
    <t xml:space="preserve">write after close raises valueerror</t>
  </si>
  <si>
    <t xml:space="preserve">unit_tests/test_middlewares.py::TestCachingWrite::test_write_after_close_raises_valueerror</t>
  </si>
  <si>
    <t xml:space="preserve">UT-143</t>
  </si>
  <si>
    <t xml:space="preserve">operator without a path raises valueerror</t>
  </si>
  <si>
    <t xml:space="preserve">unit_tests/test_queries.py::TestPathBuilding::test_operator_without_a_path_raises_valueerror</t>
  </si>
  <si>
    <t xml:space="preserve">UT-144</t>
  </si>
  <si>
    <t xml:space="preserve">incomparable types raise typeerror from the test</t>
  </si>
  <si>
    <t xml:space="preserve">unit_tests/test_queries.py::TestComparison::test_incomparable_types_raise_typeerror_from_the_test</t>
  </si>
  <si>
    <t xml:space="preserve">UT-145</t>
  </si>
  <si>
    <t xml:space="preserve">matches non string value is false</t>
  </si>
  <si>
    <t xml:space="preserve">unit_tests/test_queries.py::TestMatchesAndSearch::test_matches_non_string_value_is_false</t>
  </si>
  <si>
    <t xml:space="preserve">UT-146</t>
  </si>
  <si>
    <t xml:space="preserve">search non string value is false</t>
  </si>
  <si>
    <t xml:space="preserve">unit_tests/test_queries.py::TestMatchesAndSearch::test_search_non_string_value_is_false</t>
  </si>
  <si>
    <t xml:space="preserve">UT-147</t>
  </si>
  <si>
    <t xml:space="preserve">any on a string value is false</t>
  </si>
  <si>
    <t xml:space="preserve">unit_tests/test_queries.py::TestSequenceQueries::test_any_on_a_string_value_is_false</t>
  </si>
  <si>
    <t xml:space="preserve">UT-148</t>
  </si>
  <si>
    <t xml:space="preserve">every mutation raises typeerror</t>
  </si>
  <si>
    <t xml:space="preserve">unit_tests/test_utils_freeze.py::TestFrozenDict::test_every_mutation_raises_typeerror</t>
  </si>
  <si>
    <t xml:space="preserve">UT-149</t>
  </si>
  <si>
    <t xml:space="preserve">getitem missing key raises keyerror</t>
  </si>
  <si>
    <t xml:space="preserve">unit_tests/test_utils_lrucache.py::TestGetItem::test_getitem_missing_key_raises_keyerror</t>
  </si>
  <si>
    <t xml:space="preserve">UT-150</t>
  </si>
  <si>
    <t xml:space="preserve">getitem keyerror carries the missing key</t>
  </si>
  <si>
    <t xml:space="preserve">unit_tests/test_utils_lrucache.py::TestGetItem::test_getitem_keyerror_carries_the_missing_key</t>
  </si>
  <si>
    <t xml:space="preserve">UT-151</t>
  </si>
  <si>
    <t xml:space="preserve">delitem missing key raises keyerror</t>
  </si>
  <si>
    <t xml:space="preserve">unit_tests/test_utils_lrucache.py::TestDelete::test_delitem_missing_key_raises_keyerror</t>
  </si>
  <si>
    <t xml:space="preserve">UT-152</t>
  </si>
  <si>
    <t xml:space="preserve">flush after close raises valueerror</t>
  </si>
  <si>
    <t xml:space="preserve">unit_tests/test_middlewares.py::TestCachingFlush::test_flush_after_close_raises_valueerror</t>
  </si>
  <si>
    <t xml:space="preserve">UT-153</t>
  </si>
  <si>
    <t xml:space="preserve">CSV data driven</t>
  </si>
  <si>
    <t xml:space="preserve">query operator from csv</t>
  </si>
  <si>
    <t xml:space="preserve">datadriven</t>
  </si>
  <si>
    <t xml:space="preserve">CSV file</t>
  </si>
  <si>
    <t xml:space="preserve">test_csv_driven.py</t>
  </si>
  <si>
    <t xml:space="preserve">UT-154</t>
  </si>
  <si>
    <t xml:space="preserve">lru eviction from csv</t>
  </si>
  <si>
    <t xml:space="preserve">UT-155</t>
  </si>
  <si>
    <t xml:space="preserve">cache flush threshold from csv</t>
  </si>
  <si>
    <t xml:space="preserve">UT-156</t>
  </si>
  <si>
    <t xml:space="preserve">freeze type from csv</t>
  </si>
  <si>
    <t xml:space="preserve">Measure</t>
  </si>
  <si>
    <t xml:space="preserve">Value</t>
  </si>
  <si>
    <t xml:space="preserve">Test functions</t>
  </si>
  <si>
    <t xml:space="preserve">Collected test cases (with parametrization)</t>
  </si>
  <si>
    <t xml:space="preserve">Cases in tinydb/utils.py</t>
  </si>
  <si>
    <t xml:space="preserve">Cases in tinydb/queries.py</t>
  </si>
  <si>
    <t xml:space="preserve">Cases in tinydb/middlewares.py</t>
  </si>
  <si>
    <t xml:space="preserve">Cases reading external CSV data</t>
  </si>
  <si>
    <t xml:space="preserve">Test cases in the Test Cases sheet</t>
  </si>
  <si>
    <t xml:space="preserve">Note: counts come from pytest collection. Each parametrized row counts as one case.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</si>
</sst>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52"/>
    <col collapsed="false" customWidth="true" hidden="false" outlineLevel="0" max="6" min="6" style="0" width="44"/>
    <col collapsed="false" customWidth="true" hidden="false" outlineLevel="0" max="7" min="7" style="0" width="28"/>
    <col collapsed="false" customWidth="true" hidden="false" outlineLevel="0" max="8" min="8" style="0" width="10"/>
    <col collapsed="false" customWidth="true" hidden="false" outlineLevel="0" max="9" min="9" style="0" width="40"/>
    <col collapsed="false" customWidth="true" hidden="false" outlineLevel="0" max="10" min="10" style="0" width="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6.2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n">
        <v>18</v>
      </c>
      <c r="I2" s="2" t="s">
        <v>17</v>
      </c>
      <c r="J2" s="2" t="s">
        <v>18</v>
      </c>
    </row>
    <row r="3" customFormat="false" ht="46.25" hidden="false" customHeight="false" outlineLevel="0" collapsed="false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n">
        <v>8</v>
      </c>
      <c r="I3" s="2" t="s">
        <v>26</v>
      </c>
      <c r="J3" s="2" t="s">
        <v>27</v>
      </c>
    </row>
    <row r="4" customFormat="false" ht="46.25" hidden="false" customHeight="false" outlineLevel="0" collapsed="false">
      <c r="A4" s="2" t="s">
        <v>28</v>
      </c>
      <c r="B4" s="2" t="s">
        <v>29</v>
      </c>
      <c r="C4" s="2" t="s">
        <v>30</v>
      </c>
      <c r="D4" s="2" t="s">
        <v>22</v>
      </c>
      <c r="E4" s="2" t="s">
        <v>31</v>
      </c>
      <c r="F4" s="2" t="s">
        <v>32</v>
      </c>
      <c r="G4" s="2" t="s">
        <v>33</v>
      </c>
      <c r="H4" s="2" t="n">
        <v>8</v>
      </c>
      <c r="I4" s="2" t="s">
        <v>34</v>
      </c>
      <c r="J4" s="2" t="s">
        <v>35</v>
      </c>
    </row>
    <row r="5" customFormat="false" ht="46.25" hidden="false" customHeight="false" outlineLevel="0" collapsed="false">
      <c r="A5" s="2" t="s">
        <v>36</v>
      </c>
      <c r="B5" s="2" t="s">
        <v>20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n">
        <v>8</v>
      </c>
      <c r="I5" s="2" t="s">
        <v>42</v>
      </c>
      <c r="J5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6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8" min="8" style="0" width="28"/>
    <col collapsed="false" customWidth="true" hidden="false" outlineLevel="0" max="9" min="9" style="0" width="70"/>
  </cols>
  <sheetData>
    <row r="1" customFormat="false" ht="15" hidden="false" customHeight="false" outlineLevel="0" collapsed="false">
      <c r="A1" s="1" t="s">
        <v>44</v>
      </c>
      <c r="B1" s="1" t="s">
        <v>1</v>
      </c>
      <c r="C1" s="1" t="s">
        <v>45</v>
      </c>
      <c r="D1" s="1" t="s">
        <v>46</v>
      </c>
      <c r="E1" s="1" t="s">
        <v>3</v>
      </c>
      <c r="F1" s="1" t="s">
        <v>47</v>
      </c>
      <c r="G1" s="1" t="s">
        <v>48</v>
      </c>
      <c r="H1" s="1" t="s">
        <v>49</v>
      </c>
      <c r="I1" s="1" t="s">
        <v>50</v>
      </c>
    </row>
    <row r="2" customFormat="false" ht="35.05" hidden="false" customHeight="false" outlineLevel="0" collapsed="false">
      <c r="A2" s="2" t="s">
        <v>51</v>
      </c>
      <c r="B2" s="2" t="s">
        <v>29</v>
      </c>
      <c r="C2" s="2" t="s">
        <v>52</v>
      </c>
      <c r="D2" s="2" t="s">
        <v>53</v>
      </c>
      <c r="E2" s="2" t="s">
        <v>54</v>
      </c>
      <c r="F2" s="2" t="s">
        <v>55</v>
      </c>
      <c r="G2" s="2" t="n">
        <v>1</v>
      </c>
      <c r="H2" s="2" t="s">
        <v>56</v>
      </c>
      <c r="I2" s="2" t="s">
        <v>57</v>
      </c>
    </row>
    <row r="3" customFormat="false" ht="35.05" hidden="false" customHeight="false" outlineLevel="0" collapsed="false">
      <c r="A3" s="2" t="s">
        <v>58</v>
      </c>
      <c r="B3" s="2" t="s">
        <v>29</v>
      </c>
      <c r="C3" s="2" t="s">
        <v>59</v>
      </c>
      <c r="D3" s="2" t="s">
        <v>60</v>
      </c>
      <c r="E3" s="2" t="s">
        <v>54</v>
      </c>
      <c r="F3" s="2" t="s">
        <v>55</v>
      </c>
      <c r="G3" s="2" t="n">
        <v>1</v>
      </c>
      <c r="H3" s="2" t="s">
        <v>56</v>
      </c>
      <c r="I3" s="2" t="s">
        <v>61</v>
      </c>
    </row>
    <row r="4" customFormat="false" ht="35.05" hidden="false" customHeight="false" outlineLevel="0" collapsed="false">
      <c r="A4" s="2" t="s">
        <v>62</v>
      </c>
      <c r="B4" s="2" t="s">
        <v>29</v>
      </c>
      <c r="C4" s="2" t="s">
        <v>63</v>
      </c>
      <c r="D4" s="2" t="s">
        <v>64</v>
      </c>
      <c r="E4" s="2" t="s">
        <v>54</v>
      </c>
      <c r="F4" s="2" t="s">
        <v>55</v>
      </c>
      <c r="G4" s="2" t="n">
        <v>1</v>
      </c>
      <c r="H4" s="2" t="s">
        <v>56</v>
      </c>
      <c r="I4" s="2" t="s">
        <v>65</v>
      </c>
    </row>
    <row r="5" customFormat="false" ht="35.05" hidden="false" customHeight="false" outlineLevel="0" collapsed="false">
      <c r="A5" s="2" t="s">
        <v>66</v>
      </c>
      <c r="B5" s="2" t="s">
        <v>11</v>
      </c>
      <c r="C5" s="2" t="s">
        <v>67</v>
      </c>
      <c r="D5" s="2" t="s">
        <v>68</v>
      </c>
      <c r="E5" s="2" t="s">
        <v>69</v>
      </c>
      <c r="F5" s="2" t="s">
        <v>55</v>
      </c>
      <c r="G5" s="2" t="n">
        <v>1</v>
      </c>
      <c r="H5" s="2" t="s">
        <v>70</v>
      </c>
      <c r="I5" s="2" t="s">
        <v>71</v>
      </c>
    </row>
    <row r="6" customFormat="false" ht="15" hidden="false" customHeight="false" outlineLevel="0" collapsed="false">
      <c r="A6" s="2" t="s">
        <v>72</v>
      </c>
      <c r="B6" s="2" t="s">
        <v>11</v>
      </c>
      <c r="C6" s="2" t="s">
        <v>73</v>
      </c>
      <c r="D6" s="2" t="s">
        <v>74</v>
      </c>
      <c r="E6" s="2" t="s">
        <v>54</v>
      </c>
      <c r="F6" s="2" t="s">
        <v>55</v>
      </c>
      <c r="G6" s="2" t="n">
        <v>1</v>
      </c>
      <c r="H6" s="2" t="s">
        <v>70</v>
      </c>
      <c r="I6" s="2" t="s">
        <v>75</v>
      </c>
    </row>
    <row r="7" customFormat="false" ht="15" hidden="false" customHeight="false" outlineLevel="0" collapsed="false">
      <c r="A7" s="2" t="s">
        <v>76</v>
      </c>
      <c r="B7" s="2" t="s">
        <v>11</v>
      </c>
      <c r="C7" s="2" t="s">
        <v>77</v>
      </c>
      <c r="D7" s="2" t="s">
        <v>78</v>
      </c>
      <c r="E7" s="2" t="s">
        <v>54</v>
      </c>
      <c r="F7" s="2" t="s">
        <v>55</v>
      </c>
      <c r="G7" s="2" t="n">
        <v>1</v>
      </c>
      <c r="H7" s="2" t="s">
        <v>70</v>
      </c>
      <c r="I7" s="2" t="s">
        <v>79</v>
      </c>
    </row>
    <row r="8" customFormat="false" ht="15" hidden="false" customHeight="false" outlineLevel="0" collapsed="false">
      <c r="A8" s="2" t="s">
        <v>80</v>
      </c>
      <c r="B8" s="2" t="s">
        <v>11</v>
      </c>
      <c r="C8" s="2" t="s">
        <v>81</v>
      </c>
      <c r="D8" s="2" t="s">
        <v>82</v>
      </c>
      <c r="E8" s="2" t="s">
        <v>54</v>
      </c>
      <c r="F8" s="2" t="s">
        <v>55</v>
      </c>
      <c r="G8" s="2" t="n">
        <v>4</v>
      </c>
      <c r="H8" s="2" t="s">
        <v>70</v>
      </c>
      <c r="I8" s="2" t="s">
        <v>83</v>
      </c>
    </row>
    <row r="9" customFormat="false" ht="15" hidden="false" customHeight="false" outlineLevel="0" collapsed="false">
      <c r="A9" s="2" t="s">
        <v>84</v>
      </c>
      <c r="B9" s="2" t="s">
        <v>20</v>
      </c>
      <c r="C9" s="2" t="s">
        <v>85</v>
      </c>
      <c r="D9" s="2" t="s">
        <v>86</v>
      </c>
      <c r="E9" s="2" t="s">
        <v>54</v>
      </c>
      <c r="F9" s="2" t="s">
        <v>55</v>
      </c>
      <c r="G9" s="2" t="n">
        <v>1</v>
      </c>
      <c r="H9" s="2" t="s">
        <v>87</v>
      </c>
      <c r="I9" s="2" t="s">
        <v>88</v>
      </c>
    </row>
    <row r="10" customFormat="false" ht="15" hidden="false" customHeight="false" outlineLevel="0" collapsed="false">
      <c r="A10" s="2" t="s">
        <v>89</v>
      </c>
      <c r="B10" s="2" t="s">
        <v>20</v>
      </c>
      <c r="C10" s="2" t="s">
        <v>90</v>
      </c>
      <c r="D10" s="2" t="s">
        <v>91</v>
      </c>
      <c r="E10" s="2" t="s">
        <v>54</v>
      </c>
      <c r="F10" s="2" t="s">
        <v>55</v>
      </c>
      <c r="G10" s="2" t="n">
        <v>1</v>
      </c>
      <c r="H10" s="2" t="s">
        <v>92</v>
      </c>
      <c r="I10" s="2" t="s">
        <v>93</v>
      </c>
    </row>
    <row r="11" customFormat="false" ht="15" hidden="false" customHeight="false" outlineLevel="0" collapsed="false">
      <c r="A11" s="2" t="s">
        <v>94</v>
      </c>
      <c r="B11" s="2" t="s">
        <v>20</v>
      </c>
      <c r="C11" s="2" t="s">
        <v>95</v>
      </c>
      <c r="D11" s="2" t="s">
        <v>96</v>
      </c>
      <c r="E11" s="2" t="s">
        <v>54</v>
      </c>
      <c r="F11" s="2" t="s">
        <v>55</v>
      </c>
      <c r="G11" s="2" t="n">
        <v>1</v>
      </c>
      <c r="H11" s="2" t="s">
        <v>92</v>
      </c>
      <c r="I11" s="2" t="s">
        <v>97</v>
      </c>
    </row>
    <row r="12" customFormat="false" ht="15" hidden="false" customHeight="false" outlineLevel="0" collapsed="false">
      <c r="A12" s="2" t="s">
        <v>98</v>
      </c>
      <c r="B12" s="2" t="s">
        <v>20</v>
      </c>
      <c r="C12" s="2" t="s">
        <v>99</v>
      </c>
      <c r="D12" s="2" t="s">
        <v>100</v>
      </c>
      <c r="E12" s="2" t="s">
        <v>54</v>
      </c>
      <c r="F12" s="2" t="s">
        <v>55</v>
      </c>
      <c r="G12" s="2" t="n">
        <v>1</v>
      </c>
      <c r="H12" s="2" t="s">
        <v>92</v>
      </c>
      <c r="I12" s="2" t="s">
        <v>101</v>
      </c>
    </row>
    <row r="13" customFormat="false" ht="35.05" hidden="false" customHeight="false" outlineLevel="0" collapsed="false">
      <c r="A13" s="2" t="s">
        <v>102</v>
      </c>
      <c r="B13" s="2" t="s">
        <v>29</v>
      </c>
      <c r="C13" s="2" t="s">
        <v>52</v>
      </c>
      <c r="D13" s="2" t="s">
        <v>103</v>
      </c>
      <c r="E13" s="2" t="s">
        <v>38</v>
      </c>
      <c r="F13" s="2" t="s">
        <v>55</v>
      </c>
      <c r="G13" s="2" t="n">
        <v>1</v>
      </c>
      <c r="H13" s="2" t="s">
        <v>56</v>
      </c>
      <c r="I13" s="2" t="s">
        <v>104</v>
      </c>
    </row>
    <row r="14" customFormat="false" ht="23.85" hidden="false" customHeight="false" outlineLevel="0" collapsed="false">
      <c r="A14" s="2" t="s">
        <v>105</v>
      </c>
      <c r="B14" s="2" t="s">
        <v>29</v>
      </c>
      <c r="C14" s="2" t="s">
        <v>52</v>
      </c>
      <c r="D14" s="2" t="s">
        <v>106</v>
      </c>
      <c r="E14" s="2" t="s">
        <v>38</v>
      </c>
      <c r="F14" s="2" t="s">
        <v>55</v>
      </c>
      <c r="G14" s="2" t="n">
        <v>1</v>
      </c>
      <c r="H14" s="2" t="s">
        <v>56</v>
      </c>
      <c r="I14" s="2" t="s">
        <v>107</v>
      </c>
    </row>
    <row r="15" customFormat="false" ht="23.85" hidden="false" customHeight="false" outlineLevel="0" collapsed="false">
      <c r="A15" s="2" t="s">
        <v>108</v>
      </c>
      <c r="B15" s="2" t="s">
        <v>29</v>
      </c>
      <c r="C15" s="2" t="s">
        <v>52</v>
      </c>
      <c r="D15" s="2" t="s">
        <v>109</v>
      </c>
      <c r="E15" s="2" t="s">
        <v>38</v>
      </c>
      <c r="F15" s="2" t="s">
        <v>55</v>
      </c>
      <c r="G15" s="2" t="n">
        <v>1</v>
      </c>
      <c r="H15" s="2" t="s">
        <v>56</v>
      </c>
      <c r="I15" s="2" t="s">
        <v>110</v>
      </c>
    </row>
    <row r="16" customFormat="false" ht="23.85" hidden="false" customHeight="false" outlineLevel="0" collapsed="false">
      <c r="A16" s="2" t="s">
        <v>111</v>
      </c>
      <c r="B16" s="2" t="s">
        <v>29</v>
      </c>
      <c r="C16" s="2" t="s">
        <v>52</v>
      </c>
      <c r="D16" s="2" t="s">
        <v>112</v>
      </c>
      <c r="E16" s="2" t="s">
        <v>38</v>
      </c>
      <c r="F16" s="2" t="s">
        <v>55</v>
      </c>
      <c r="G16" s="2" t="n">
        <v>1</v>
      </c>
      <c r="H16" s="2" t="s">
        <v>56</v>
      </c>
      <c r="I16" s="2" t="s">
        <v>113</v>
      </c>
    </row>
    <row r="17" customFormat="false" ht="35.05" hidden="false" customHeight="false" outlineLevel="0" collapsed="false">
      <c r="A17" s="2" t="s">
        <v>114</v>
      </c>
      <c r="B17" s="2" t="s">
        <v>29</v>
      </c>
      <c r="C17" s="2" t="s">
        <v>59</v>
      </c>
      <c r="D17" s="2" t="s">
        <v>115</v>
      </c>
      <c r="E17" s="2" t="s">
        <v>38</v>
      </c>
      <c r="F17" s="2" t="s">
        <v>55</v>
      </c>
      <c r="G17" s="2" t="n">
        <v>1</v>
      </c>
      <c r="H17" s="2" t="s">
        <v>56</v>
      </c>
      <c r="I17" s="2" t="s">
        <v>116</v>
      </c>
    </row>
    <row r="18" customFormat="false" ht="23.85" hidden="false" customHeight="false" outlineLevel="0" collapsed="false">
      <c r="A18" s="2" t="s">
        <v>117</v>
      </c>
      <c r="B18" s="2" t="s">
        <v>29</v>
      </c>
      <c r="C18" s="2" t="s">
        <v>59</v>
      </c>
      <c r="D18" s="2" t="s">
        <v>118</v>
      </c>
      <c r="E18" s="2" t="s">
        <v>38</v>
      </c>
      <c r="F18" s="2" t="s">
        <v>55</v>
      </c>
      <c r="G18" s="2" t="n">
        <v>1</v>
      </c>
      <c r="H18" s="2" t="s">
        <v>56</v>
      </c>
      <c r="I18" s="2" t="s">
        <v>119</v>
      </c>
    </row>
    <row r="19" customFormat="false" ht="23.85" hidden="false" customHeight="false" outlineLevel="0" collapsed="false">
      <c r="A19" s="2" t="s">
        <v>120</v>
      </c>
      <c r="B19" s="2" t="s">
        <v>29</v>
      </c>
      <c r="C19" s="2" t="s">
        <v>59</v>
      </c>
      <c r="D19" s="2" t="s">
        <v>121</v>
      </c>
      <c r="E19" s="2" t="s">
        <v>38</v>
      </c>
      <c r="F19" s="2" t="s">
        <v>55</v>
      </c>
      <c r="G19" s="2" t="n">
        <v>1</v>
      </c>
      <c r="H19" s="2" t="s">
        <v>56</v>
      </c>
      <c r="I19" s="2" t="s">
        <v>122</v>
      </c>
    </row>
    <row r="20" customFormat="false" ht="23.85" hidden="false" customHeight="false" outlineLevel="0" collapsed="false">
      <c r="A20" s="2" t="s">
        <v>123</v>
      </c>
      <c r="B20" s="2" t="s">
        <v>29</v>
      </c>
      <c r="C20" s="2" t="s">
        <v>124</v>
      </c>
      <c r="D20" s="2" t="s">
        <v>125</v>
      </c>
      <c r="E20" s="2" t="s">
        <v>38</v>
      </c>
      <c r="F20" s="2" t="s">
        <v>55</v>
      </c>
      <c r="G20" s="2" t="n">
        <v>1</v>
      </c>
      <c r="H20" s="2" t="s">
        <v>56</v>
      </c>
      <c r="I20" s="2" t="s">
        <v>126</v>
      </c>
    </row>
    <row r="21" customFormat="false" ht="23.85" hidden="false" customHeight="false" outlineLevel="0" collapsed="false">
      <c r="A21" s="2" t="s">
        <v>127</v>
      </c>
      <c r="B21" s="2" t="s">
        <v>29</v>
      </c>
      <c r="C21" s="2" t="s">
        <v>128</v>
      </c>
      <c r="D21" s="2" t="s">
        <v>129</v>
      </c>
      <c r="E21" s="2" t="s">
        <v>38</v>
      </c>
      <c r="F21" s="2" t="s">
        <v>55</v>
      </c>
      <c r="G21" s="2" t="n">
        <v>1</v>
      </c>
      <c r="H21" s="2" t="s">
        <v>56</v>
      </c>
      <c r="I21" s="2" t="s">
        <v>130</v>
      </c>
    </row>
    <row r="22" customFormat="false" ht="35.05" hidden="false" customHeight="false" outlineLevel="0" collapsed="false">
      <c r="A22" s="2" t="s">
        <v>131</v>
      </c>
      <c r="B22" s="2" t="s">
        <v>29</v>
      </c>
      <c r="C22" s="2" t="s">
        <v>128</v>
      </c>
      <c r="D22" s="2" t="s">
        <v>132</v>
      </c>
      <c r="E22" s="2" t="s">
        <v>38</v>
      </c>
      <c r="F22" s="2" t="s">
        <v>55</v>
      </c>
      <c r="G22" s="2" t="n">
        <v>1</v>
      </c>
      <c r="H22" s="2" t="s">
        <v>56</v>
      </c>
      <c r="I22" s="2" t="s">
        <v>133</v>
      </c>
    </row>
    <row r="23" customFormat="false" ht="15" hidden="false" customHeight="false" outlineLevel="0" collapsed="false">
      <c r="A23" s="2" t="s">
        <v>134</v>
      </c>
      <c r="B23" s="2" t="s">
        <v>29</v>
      </c>
      <c r="C23" s="2" t="s">
        <v>128</v>
      </c>
      <c r="D23" s="2" t="s">
        <v>135</v>
      </c>
      <c r="E23" s="2" t="s">
        <v>38</v>
      </c>
      <c r="F23" s="2" t="s">
        <v>55</v>
      </c>
      <c r="G23" s="2" t="n">
        <v>1</v>
      </c>
      <c r="H23" s="2" t="s">
        <v>56</v>
      </c>
      <c r="I23" s="2" t="s">
        <v>136</v>
      </c>
    </row>
    <row r="24" customFormat="false" ht="15" hidden="false" customHeight="false" outlineLevel="0" collapsed="false">
      <c r="A24" s="2" t="s">
        <v>137</v>
      </c>
      <c r="B24" s="2" t="s">
        <v>29</v>
      </c>
      <c r="C24" s="2" t="s">
        <v>128</v>
      </c>
      <c r="D24" s="2" t="s">
        <v>138</v>
      </c>
      <c r="E24" s="2" t="s">
        <v>38</v>
      </c>
      <c r="F24" s="2" t="s">
        <v>55</v>
      </c>
      <c r="G24" s="2" t="n">
        <v>1</v>
      </c>
      <c r="H24" s="2" t="s">
        <v>56</v>
      </c>
      <c r="I24" s="2" t="s">
        <v>139</v>
      </c>
    </row>
    <row r="25" customFormat="false" ht="23.85" hidden="false" customHeight="false" outlineLevel="0" collapsed="false">
      <c r="A25" s="2" t="s">
        <v>140</v>
      </c>
      <c r="B25" s="2" t="s">
        <v>29</v>
      </c>
      <c r="C25" s="2" t="s">
        <v>128</v>
      </c>
      <c r="D25" s="2" t="s">
        <v>141</v>
      </c>
      <c r="E25" s="2" t="s">
        <v>38</v>
      </c>
      <c r="F25" s="2" t="s">
        <v>55</v>
      </c>
      <c r="G25" s="2" t="n">
        <v>1</v>
      </c>
      <c r="H25" s="2" t="s">
        <v>56</v>
      </c>
      <c r="I25" s="2" t="s">
        <v>142</v>
      </c>
    </row>
    <row r="26" customFormat="false" ht="35.05" hidden="false" customHeight="false" outlineLevel="0" collapsed="false">
      <c r="A26" s="2" t="s">
        <v>143</v>
      </c>
      <c r="B26" s="2" t="s">
        <v>29</v>
      </c>
      <c r="C26" s="2" t="s">
        <v>63</v>
      </c>
      <c r="D26" s="2" t="s">
        <v>144</v>
      </c>
      <c r="E26" s="2" t="s">
        <v>38</v>
      </c>
      <c r="F26" s="2" t="s">
        <v>55</v>
      </c>
      <c r="G26" s="2" t="n">
        <v>1</v>
      </c>
      <c r="H26" s="2" t="s">
        <v>56</v>
      </c>
      <c r="I26" s="2" t="s">
        <v>145</v>
      </c>
    </row>
    <row r="27" customFormat="false" ht="35.05" hidden="false" customHeight="false" outlineLevel="0" collapsed="false">
      <c r="A27" s="2" t="s">
        <v>146</v>
      </c>
      <c r="B27" s="2" t="s">
        <v>29</v>
      </c>
      <c r="C27" s="2" t="s">
        <v>63</v>
      </c>
      <c r="D27" s="2" t="s">
        <v>147</v>
      </c>
      <c r="E27" s="2" t="s">
        <v>38</v>
      </c>
      <c r="F27" s="2" t="s">
        <v>55</v>
      </c>
      <c r="G27" s="2" t="n">
        <v>1</v>
      </c>
      <c r="H27" s="2" t="s">
        <v>56</v>
      </c>
      <c r="I27" s="2" t="s">
        <v>148</v>
      </c>
    </row>
    <row r="28" customFormat="false" ht="23.85" hidden="false" customHeight="false" outlineLevel="0" collapsed="false">
      <c r="A28" s="2" t="s">
        <v>149</v>
      </c>
      <c r="B28" s="2" t="s">
        <v>11</v>
      </c>
      <c r="C28" s="2" t="s">
        <v>67</v>
      </c>
      <c r="D28" s="2" t="s">
        <v>150</v>
      </c>
      <c r="E28" s="2" t="s">
        <v>38</v>
      </c>
      <c r="F28" s="2" t="s">
        <v>55</v>
      </c>
      <c r="G28" s="2" t="n">
        <v>1</v>
      </c>
      <c r="H28" s="2" t="s">
        <v>70</v>
      </c>
      <c r="I28" s="2" t="s">
        <v>151</v>
      </c>
    </row>
    <row r="29" customFormat="false" ht="35.05" hidden="false" customHeight="false" outlineLevel="0" collapsed="false">
      <c r="A29" s="2" t="s">
        <v>152</v>
      </c>
      <c r="B29" s="2" t="s">
        <v>11</v>
      </c>
      <c r="C29" s="2" t="s">
        <v>67</v>
      </c>
      <c r="D29" s="2" t="s">
        <v>153</v>
      </c>
      <c r="E29" s="2" t="s">
        <v>38</v>
      </c>
      <c r="F29" s="2" t="s">
        <v>55</v>
      </c>
      <c r="G29" s="2" t="n">
        <v>1</v>
      </c>
      <c r="H29" s="2" t="s">
        <v>70</v>
      </c>
      <c r="I29" s="2" t="s">
        <v>154</v>
      </c>
    </row>
    <row r="30" customFormat="false" ht="23.85" hidden="false" customHeight="false" outlineLevel="0" collapsed="false">
      <c r="A30" s="2" t="s">
        <v>155</v>
      </c>
      <c r="B30" s="2" t="s">
        <v>11</v>
      </c>
      <c r="C30" s="2" t="s">
        <v>67</v>
      </c>
      <c r="D30" s="2" t="s">
        <v>156</v>
      </c>
      <c r="E30" s="2" t="s">
        <v>38</v>
      </c>
      <c r="F30" s="2" t="s">
        <v>55</v>
      </c>
      <c r="G30" s="2" t="n">
        <v>1</v>
      </c>
      <c r="H30" s="2" t="s">
        <v>70</v>
      </c>
      <c r="I30" s="2" t="s">
        <v>157</v>
      </c>
    </row>
    <row r="31" customFormat="false" ht="35.05" hidden="false" customHeight="false" outlineLevel="0" collapsed="false">
      <c r="A31" s="2" t="s">
        <v>158</v>
      </c>
      <c r="B31" s="2" t="s">
        <v>11</v>
      </c>
      <c r="C31" s="2" t="s">
        <v>67</v>
      </c>
      <c r="D31" s="2" t="s">
        <v>159</v>
      </c>
      <c r="E31" s="2" t="s">
        <v>38</v>
      </c>
      <c r="F31" s="2" t="s">
        <v>55</v>
      </c>
      <c r="G31" s="2" t="n">
        <v>1</v>
      </c>
      <c r="H31" s="2" t="s">
        <v>70</v>
      </c>
      <c r="I31" s="2" t="s">
        <v>160</v>
      </c>
    </row>
    <row r="32" customFormat="false" ht="23.85" hidden="false" customHeight="false" outlineLevel="0" collapsed="false">
      <c r="A32" s="2" t="s">
        <v>161</v>
      </c>
      <c r="B32" s="2" t="s">
        <v>11</v>
      </c>
      <c r="C32" s="2" t="s">
        <v>67</v>
      </c>
      <c r="D32" s="2" t="s">
        <v>162</v>
      </c>
      <c r="E32" s="2" t="s">
        <v>38</v>
      </c>
      <c r="F32" s="2" t="s">
        <v>55</v>
      </c>
      <c r="G32" s="2" t="n">
        <v>1</v>
      </c>
      <c r="H32" s="2" t="s">
        <v>70</v>
      </c>
      <c r="I32" s="2" t="s">
        <v>163</v>
      </c>
    </row>
    <row r="33" customFormat="false" ht="35.05" hidden="false" customHeight="false" outlineLevel="0" collapsed="false">
      <c r="A33" s="2" t="s">
        <v>164</v>
      </c>
      <c r="B33" s="2" t="s">
        <v>11</v>
      </c>
      <c r="C33" s="2" t="s">
        <v>67</v>
      </c>
      <c r="D33" s="2" t="s">
        <v>165</v>
      </c>
      <c r="E33" s="2" t="s">
        <v>38</v>
      </c>
      <c r="F33" s="2" t="s">
        <v>55</v>
      </c>
      <c r="G33" s="2" t="n">
        <v>1</v>
      </c>
      <c r="H33" s="2" t="s">
        <v>70</v>
      </c>
      <c r="I33" s="2" t="s">
        <v>166</v>
      </c>
    </row>
    <row r="34" customFormat="false" ht="15" hidden="false" customHeight="false" outlineLevel="0" collapsed="false">
      <c r="A34" s="2" t="s">
        <v>167</v>
      </c>
      <c r="B34" s="2" t="s">
        <v>11</v>
      </c>
      <c r="C34" s="2" t="s">
        <v>73</v>
      </c>
      <c r="D34" s="2" t="s">
        <v>168</v>
      </c>
      <c r="E34" s="2" t="s">
        <v>38</v>
      </c>
      <c r="F34" s="2" t="s">
        <v>55</v>
      </c>
      <c r="G34" s="2" t="n">
        <v>1</v>
      </c>
      <c r="H34" s="2" t="s">
        <v>70</v>
      </c>
      <c r="I34" s="2" t="s">
        <v>169</v>
      </c>
    </row>
    <row r="35" customFormat="false" ht="15" hidden="false" customHeight="false" outlineLevel="0" collapsed="false">
      <c r="A35" s="2" t="s">
        <v>170</v>
      </c>
      <c r="B35" s="2" t="s">
        <v>11</v>
      </c>
      <c r="C35" s="2" t="s">
        <v>73</v>
      </c>
      <c r="D35" s="2" t="s">
        <v>171</v>
      </c>
      <c r="E35" s="2" t="s">
        <v>38</v>
      </c>
      <c r="F35" s="2" t="s">
        <v>55</v>
      </c>
      <c r="G35" s="2" t="n">
        <v>1</v>
      </c>
      <c r="H35" s="2" t="s">
        <v>70</v>
      </c>
      <c r="I35" s="2" t="s">
        <v>172</v>
      </c>
    </row>
    <row r="36" customFormat="false" ht="15" hidden="false" customHeight="false" outlineLevel="0" collapsed="false">
      <c r="A36" s="2" t="s">
        <v>173</v>
      </c>
      <c r="B36" s="2" t="s">
        <v>11</v>
      </c>
      <c r="C36" s="2" t="s">
        <v>73</v>
      </c>
      <c r="D36" s="2" t="s">
        <v>174</v>
      </c>
      <c r="E36" s="2" t="s">
        <v>38</v>
      </c>
      <c r="F36" s="2" t="s">
        <v>55</v>
      </c>
      <c r="G36" s="2" t="n">
        <v>1</v>
      </c>
      <c r="H36" s="2" t="s">
        <v>70</v>
      </c>
      <c r="I36" s="2" t="s">
        <v>175</v>
      </c>
    </row>
    <row r="37" customFormat="false" ht="15" hidden="false" customHeight="false" outlineLevel="0" collapsed="false">
      <c r="A37" s="2" t="s">
        <v>176</v>
      </c>
      <c r="B37" s="2" t="s">
        <v>11</v>
      </c>
      <c r="C37" s="2" t="s">
        <v>73</v>
      </c>
      <c r="D37" s="2" t="s">
        <v>177</v>
      </c>
      <c r="E37" s="2" t="s">
        <v>38</v>
      </c>
      <c r="F37" s="2" t="s">
        <v>55</v>
      </c>
      <c r="G37" s="2" t="n">
        <v>1</v>
      </c>
      <c r="H37" s="2" t="s">
        <v>70</v>
      </c>
      <c r="I37" s="2" t="s">
        <v>178</v>
      </c>
    </row>
    <row r="38" customFormat="false" ht="15" hidden="false" customHeight="false" outlineLevel="0" collapsed="false">
      <c r="A38" s="2" t="s">
        <v>179</v>
      </c>
      <c r="B38" s="2" t="s">
        <v>11</v>
      </c>
      <c r="C38" s="2" t="s">
        <v>77</v>
      </c>
      <c r="D38" s="2" t="s">
        <v>180</v>
      </c>
      <c r="E38" s="2" t="s">
        <v>38</v>
      </c>
      <c r="F38" s="2" t="s">
        <v>55</v>
      </c>
      <c r="G38" s="2" t="n">
        <v>1</v>
      </c>
      <c r="H38" s="2" t="s">
        <v>70</v>
      </c>
      <c r="I38" s="2" t="s">
        <v>181</v>
      </c>
    </row>
    <row r="39" customFormat="false" ht="15" hidden="false" customHeight="false" outlineLevel="0" collapsed="false">
      <c r="A39" s="2" t="s">
        <v>182</v>
      </c>
      <c r="B39" s="2" t="s">
        <v>11</v>
      </c>
      <c r="C39" s="2" t="s">
        <v>77</v>
      </c>
      <c r="D39" s="2" t="s">
        <v>183</v>
      </c>
      <c r="E39" s="2" t="s">
        <v>38</v>
      </c>
      <c r="F39" s="2" t="s">
        <v>55</v>
      </c>
      <c r="G39" s="2" t="n">
        <v>1</v>
      </c>
      <c r="H39" s="2" t="s">
        <v>70</v>
      </c>
      <c r="I39" s="2" t="s">
        <v>184</v>
      </c>
    </row>
    <row r="40" customFormat="false" ht="15" hidden="false" customHeight="false" outlineLevel="0" collapsed="false">
      <c r="A40" s="2" t="s">
        <v>185</v>
      </c>
      <c r="B40" s="2" t="s">
        <v>11</v>
      </c>
      <c r="C40" s="2" t="s">
        <v>77</v>
      </c>
      <c r="D40" s="2" t="s">
        <v>186</v>
      </c>
      <c r="E40" s="2" t="s">
        <v>38</v>
      </c>
      <c r="F40" s="2" t="s">
        <v>55</v>
      </c>
      <c r="G40" s="2" t="n">
        <v>1</v>
      </c>
      <c r="H40" s="2" t="s">
        <v>70</v>
      </c>
      <c r="I40" s="2" t="s">
        <v>187</v>
      </c>
    </row>
    <row r="41" customFormat="false" ht="15" hidden="false" customHeight="false" outlineLevel="0" collapsed="false">
      <c r="A41" s="2" t="s">
        <v>188</v>
      </c>
      <c r="B41" s="2" t="s">
        <v>11</v>
      </c>
      <c r="C41" s="2" t="s">
        <v>189</v>
      </c>
      <c r="D41" s="2" t="s">
        <v>190</v>
      </c>
      <c r="E41" s="2" t="s">
        <v>38</v>
      </c>
      <c r="F41" s="2" t="s">
        <v>55</v>
      </c>
      <c r="G41" s="2" t="n">
        <v>1</v>
      </c>
      <c r="H41" s="2" t="s">
        <v>70</v>
      </c>
      <c r="I41" s="2" t="s">
        <v>191</v>
      </c>
    </row>
    <row r="42" customFormat="false" ht="23.85" hidden="false" customHeight="false" outlineLevel="0" collapsed="false">
      <c r="A42" s="2" t="s">
        <v>192</v>
      </c>
      <c r="B42" s="2" t="s">
        <v>11</v>
      </c>
      <c r="C42" s="2" t="s">
        <v>189</v>
      </c>
      <c r="D42" s="2" t="s">
        <v>193</v>
      </c>
      <c r="E42" s="2" t="s">
        <v>38</v>
      </c>
      <c r="F42" s="2" t="s">
        <v>55</v>
      </c>
      <c r="G42" s="2" t="n">
        <v>1</v>
      </c>
      <c r="H42" s="2" t="s">
        <v>70</v>
      </c>
      <c r="I42" s="2" t="s">
        <v>194</v>
      </c>
    </row>
    <row r="43" customFormat="false" ht="23.85" hidden="false" customHeight="false" outlineLevel="0" collapsed="false">
      <c r="A43" s="2" t="s">
        <v>195</v>
      </c>
      <c r="B43" s="2" t="s">
        <v>11</v>
      </c>
      <c r="C43" s="2" t="s">
        <v>189</v>
      </c>
      <c r="D43" s="2" t="s">
        <v>196</v>
      </c>
      <c r="E43" s="2" t="s">
        <v>38</v>
      </c>
      <c r="F43" s="2" t="s">
        <v>55</v>
      </c>
      <c r="G43" s="2" t="n">
        <v>1</v>
      </c>
      <c r="H43" s="2" t="s">
        <v>70</v>
      </c>
      <c r="I43" s="2" t="s">
        <v>197</v>
      </c>
    </row>
    <row r="44" customFormat="false" ht="23.85" hidden="false" customHeight="false" outlineLevel="0" collapsed="false">
      <c r="A44" s="2" t="s">
        <v>198</v>
      </c>
      <c r="B44" s="2" t="s">
        <v>11</v>
      </c>
      <c r="C44" s="2" t="s">
        <v>189</v>
      </c>
      <c r="D44" s="2" t="s">
        <v>199</v>
      </c>
      <c r="E44" s="2" t="s">
        <v>38</v>
      </c>
      <c r="F44" s="2" t="s">
        <v>55</v>
      </c>
      <c r="G44" s="2" t="n">
        <v>1</v>
      </c>
      <c r="H44" s="2" t="s">
        <v>70</v>
      </c>
      <c r="I44" s="2" t="s">
        <v>200</v>
      </c>
    </row>
    <row r="45" customFormat="false" ht="23.85" hidden="false" customHeight="false" outlineLevel="0" collapsed="false">
      <c r="A45" s="2" t="s">
        <v>201</v>
      </c>
      <c r="B45" s="2" t="s">
        <v>11</v>
      </c>
      <c r="C45" s="2" t="s">
        <v>189</v>
      </c>
      <c r="D45" s="2" t="s">
        <v>202</v>
      </c>
      <c r="E45" s="2" t="s">
        <v>38</v>
      </c>
      <c r="F45" s="2" t="s">
        <v>55</v>
      </c>
      <c r="G45" s="2" t="n">
        <v>1</v>
      </c>
      <c r="H45" s="2" t="s">
        <v>70</v>
      </c>
      <c r="I45" s="2" t="s">
        <v>203</v>
      </c>
    </row>
    <row r="46" customFormat="false" ht="23.85" hidden="false" customHeight="false" outlineLevel="0" collapsed="false">
      <c r="A46" s="2" t="s">
        <v>204</v>
      </c>
      <c r="B46" s="2" t="s">
        <v>11</v>
      </c>
      <c r="C46" s="2" t="s">
        <v>189</v>
      </c>
      <c r="D46" s="2" t="s">
        <v>205</v>
      </c>
      <c r="E46" s="2" t="s">
        <v>38</v>
      </c>
      <c r="F46" s="2" t="s">
        <v>55</v>
      </c>
      <c r="G46" s="2" t="n">
        <v>1</v>
      </c>
      <c r="H46" s="2" t="s">
        <v>70</v>
      </c>
      <c r="I46" s="2" t="s">
        <v>206</v>
      </c>
    </row>
    <row r="47" customFormat="false" ht="23.85" hidden="false" customHeight="false" outlineLevel="0" collapsed="false">
      <c r="A47" s="2" t="s">
        <v>207</v>
      </c>
      <c r="B47" s="2" t="s">
        <v>11</v>
      </c>
      <c r="C47" s="2" t="s">
        <v>208</v>
      </c>
      <c r="D47" s="2" t="s">
        <v>209</v>
      </c>
      <c r="E47" s="2" t="s">
        <v>38</v>
      </c>
      <c r="F47" s="2" t="s">
        <v>55</v>
      </c>
      <c r="G47" s="2" t="n">
        <v>1</v>
      </c>
      <c r="H47" s="2" t="s">
        <v>70</v>
      </c>
      <c r="I47" s="2" t="s">
        <v>210</v>
      </c>
    </row>
    <row r="48" customFormat="false" ht="15" hidden="false" customHeight="false" outlineLevel="0" collapsed="false">
      <c r="A48" s="2" t="s">
        <v>211</v>
      </c>
      <c r="B48" s="2" t="s">
        <v>11</v>
      </c>
      <c r="C48" s="2" t="s">
        <v>208</v>
      </c>
      <c r="D48" s="2" t="s">
        <v>212</v>
      </c>
      <c r="E48" s="2" t="s">
        <v>38</v>
      </c>
      <c r="F48" s="2" t="s">
        <v>55</v>
      </c>
      <c r="G48" s="2" t="n">
        <v>1</v>
      </c>
      <c r="H48" s="2" t="s">
        <v>70</v>
      </c>
      <c r="I48" s="2" t="s">
        <v>213</v>
      </c>
    </row>
    <row r="49" customFormat="false" ht="35.05" hidden="false" customHeight="false" outlineLevel="0" collapsed="false">
      <c r="A49" s="2" t="s">
        <v>214</v>
      </c>
      <c r="B49" s="2" t="s">
        <v>11</v>
      </c>
      <c r="C49" s="2" t="s">
        <v>208</v>
      </c>
      <c r="D49" s="2" t="s">
        <v>215</v>
      </c>
      <c r="E49" s="2" t="s">
        <v>38</v>
      </c>
      <c r="F49" s="2" t="s">
        <v>55</v>
      </c>
      <c r="G49" s="2" t="n">
        <v>1</v>
      </c>
      <c r="H49" s="2" t="s">
        <v>70</v>
      </c>
      <c r="I49" s="2" t="s">
        <v>216</v>
      </c>
    </row>
    <row r="50" customFormat="false" ht="23.85" hidden="false" customHeight="false" outlineLevel="0" collapsed="false">
      <c r="A50" s="2" t="s">
        <v>217</v>
      </c>
      <c r="B50" s="2" t="s">
        <v>11</v>
      </c>
      <c r="C50" s="2" t="s">
        <v>208</v>
      </c>
      <c r="D50" s="2" t="s">
        <v>218</v>
      </c>
      <c r="E50" s="2" t="s">
        <v>38</v>
      </c>
      <c r="F50" s="2" t="s">
        <v>55</v>
      </c>
      <c r="G50" s="2" t="n">
        <v>1</v>
      </c>
      <c r="H50" s="2" t="s">
        <v>70</v>
      </c>
      <c r="I50" s="2" t="s">
        <v>219</v>
      </c>
    </row>
    <row r="51" customFormat="false" ht="23.85" hidden="false" customHeight="false" outlineLevel="0" collapsed="false">
      <c r="A51" s="2" t="s">
        <v>220</v>
      </c>
      <c r="B51" s="2" t="s">
        <v>11</v>
      </c>
      <c r="C51" s="2" t="s">
        <v>208</v>
      </c>
      <c r="D51" s="2" t="s">
        <v>221</v>
      </c>
      <c r="E51" s="2" t="s">
        <v>38</v>
      </c>
      <c r="F51" s="2" t="s">
        <v>55</v>
      </c>
      <c r="G51" s="2" t="n">
        <v>1</v>
      </c>
      <c r="H51" s="2" t="s">
        <v>70</v>
      </c>
      <c r="I51" s="2" t="s">
        <v>222</v>
      </c>
    </row>
    <row r="52" customFormat="false" ht="35.05" hidden="false" customHeight="false" outlineLevel="0" collapsed="false">
      <c r="A52" s="2" t="s">
        <v>223</v>
      </c>
      <c r="B52" s="2" t="s">
        <v>11</v>
      </c>
      <c r="C52" s="2" t="s">
        <v>224</v>
      </c>
      <c r="D52" s="2" t="s">
        <v>225</v>
      </c>
      <c r="E52" s="2" t="s">
        <v>38</v>
      </c>
      <c r="F52" s="2" t="s">
        <v>55</v>
      </c>
      <c r="G52" s="2" t="n">
        <v>1</v>
      </c>
      <c r="H52" s="2" t="s">
        <v>70</v>
      </c>
      <c r="I52" s="2" t="s">
        <v>226</v>
      </c>
    </row>
    <row r="53" customFormat="false" ht="23.85" hidden="false" customHeight="false" outlineLevel="0" collapsed="false">
      <c r="A53" s="2" t="s">
        <v>227</v>
      </c>
      <c r="B53" s="2" t="s">
        <v>11</v>
      </c>
      <c r="C53" s="2" t="s">
        <v>224</v>
      </c>
      <c r="D53" s="2" t="s">
        <v>228</v>
      </c>
      <c r="E53" s="2" t="s">
        <v>38</v>
      </c>
      <c r="F53" s="2" t="s">
        <v>55</v>
      </c>
      <c r="G53" s="2" t="n">
        <v>1</v>
      </c>
      <c r="H53" s="2" t="s">
        <v>70</v>
      </c>
      <c r="I53" s="2" t="s">
        <v>229</v>
      </c>
    </row>
    <row r="54" customFormat="false" ht="15" hidden="false" customHeight="false" outlineLevel="0" collapsed="false">
      <c r="A54" s="2" t="s">
        <v>230</v>
      </c>
      <c r="B54" s="2" t="s">
        <v>11</v>
      </c>
      <c r="C54" s="2" t="s">
        <v>224</v>
      </c>
      <c r="D54" s="2" t="s">
        <v>231</v>
      </c>
      <c r="E54" s="2" t="s">
        <v>38</v>
      </c>
      <c r="F54" s="2" t="s">
        <v>55</v>
      </c>
      <c r="G54" s="2" t="n">
        <v>1</v>
      </c>
      <c r="H54" s="2" t="s">
        <v>70</v>
      </c>
      <c r="I54" s="2" t="s">
        <v>232</v>
      </c>
    </row>
    <row r="55" customFormat="false" ht="35.05" hidden="false" customHeight="false" outlineLevel="0" collapsed="false">
      <c r="A55" s="2" t="s">
        <v>233</v>
      </c>
      <c r="B55" s="2" t="s">
        <v>11</v>
      </c>
      <c r="C55" s="2" t="s">
        <v>224</v>
      </c>
      <c r="D55" s="2" t="s">
        <v>234</v>
      </c>
      <c r="E55" s="2" t="s">
        <v>38</v>
      </c>
      <c r="F55" s="2" t="s">
        <v>55</v>
      </c>
      <c r="G55" s="2" t="n">
        <v>1</v>
      </c>
      <c r="H55" s="2" t="s">
        <v>70</v>
      </c>
      <c r="I55" s="2" t="s">
        <v>235</v>
      </c>
    </row>
    <row r="56" customFormat="false" ht="15" hidden="false" customHeight="false" outlineLevel="0" collapsed="false">
      <c r="A56" s="2" t="s">
        <v>236</v>
      </c>
      <c r="B56" s="2" t="s">
        <v>11</v>
      </c>
      <c r="C56" s="2" t="s">
        <v>224</v>
      </c>
      <c r="D56" s="2" t="s">
        <v>237</v>
      </c>
      <c r="E56" s="2" t="s">
        <v>38</v>
      </c>
      <c r="F56" s="2" t="s">
        <v>55</v>
      </c>
      <c r="G56" s="2" t="n">
        <v>1</v>
      </c>
      <c r="H56" s="2" t="s">
        <v>70</v>
      </c>
      <c r="I56" s="2" t="s">
        <v>238</v>
      </c>
    </row>
    <row r="57" customFormat="false" ht="15" hidden="false" customHeight="false" outlineLevel="0" collapsed="false">
      <c r="A57" s="2" t="s">
        <v>239</v>
      </c>
      <c r="B57" s="2" t="s">
        <v>11</v>
      </c>
      <c r="C57" s="2" t="s">
        <v>224</v>
      </c>
      <c r="D57" s="2" t="s">
        <v>240</v>
      </c>
      <c r="E57" s="2" t="s">
        <v>38</v>
      </c>
      <c r="F57" s="2" t="s">
        <v>55</v>
      </c>
      <c r="G57" s="2" t="n">
        <v>1</v>
      </c>
      <c r="H57" s="2" t="s">
        <v>70</v>
      </c>
      <c r="I57" s="2" t="s">
        <v>241</v>
      </c>
    </row>
    <row r="58" customFormat="false" ht="35.05" hidden="false" customHeight="false" outlineLevel="0" collapsed="false">
      <c r="A58" s="2" t="s">
        <v>242</v>
      </c>
      <c r="B58" s="2" t="s">
        <v>11</v>
      </c>
      <c r="C58" s="2" t="s">
        <v>243</v>
      </c>
      <c r="D58" s="2" t="s">
        <v>244</v>
      </c>
      <c r="E58" s="2" t="s">
        <v>38</v>
      </c>
      <c r="F58" s="2" t="s">
        <v>55</v>
      </c>
      <c r="G58" s="2" t="n">
        <v>1</v>
      </c>
      <c r="H58" s="2" t="s">
        <v>70</v>
      </c>
      <c r="I58" s="2" t="s">
        <v>245</v>
      </c>
    </row>
    <row r="59" customFormat="false" ht="23.85" hidden="false" customHeight="false" outlineLevel="0" collapsed="false">
      <c r="A59" s="2" t="s">
        <v>246</v>
      </c>
      <c r="B59" s="2" t="s">
        <v>11</v>
      </c>
      <c r="C59" s="2" t="s">
        <v>243</v>
      </c>
      <c r="D59" s="2" t="s">
        <v>247</v>
      </c>
      <c r="E59" s="2" t="s">
        <v>38</v>
      </c>
      <c r="F59" s="2" t="s">
        <v>55</v>
      </c>
      <c r="G59" s="2" t="n">
        <v>1</v>
      </c>
      <c r="H59" s="2" t="s">
        <v>70</v>
      </c>
      <c r="I59" s="2" t="s">
        <v>248</v>
      </c>
    </row>
    <row r="60" customFormat="false" ht="23.85" hidden="false" customHeight="false" outlineLevel="0" collapsed="false">
      <c r="A60" s="2" t="s">
        <v>249</v>
      </c>
      <c r="B60" s="2" t="s">
        <v>11</v>
      </c>
      <c r="C60" s="2" t="s">
        <v>243</v>
      </c>
      <c r="D60" s="2" t="s">
        <v>250</v>
      </c>
      <c r="E60" s="2" t="s">
        <v>38</v>
      </c>
      <c r="F60" s="2" t="s">
        <v>55</v>
      </c>
      <c r="G60" s="2" t="n">
        <v>1</v>
      </c>
      <c r="H60" s="2" t="s">
        <v>70</v>
      </c>
      <c r="I60" s="2" t="s">
        <v>251</v>
      </c>
    </row>
    <row r="61" customFormat="false" ht="15" hidden="false" customHeight="false" outlineLevel="0" collapsed="false">
      <c r="A61" s="2" t="s">
        <v>252</v>
      </c>
      <c r="B61" s="2" t="s">
        <v>11</v>
      </c>
      <c r="C61" s="2" t="s">
        <v>243</v>
      </c>
      <c r="D61" s="2" t="s">
        <v>253</v>
      </c>
      <c r="E61" s="2" t="s">
        <v>38</v>
      </c>
      <c r="F61" s="2" t="s">
        <v>55</v>
      </c>
      <c r="G61" s="2" t="n">
        <v>1</v>
      </c>
      <c r="H61" s="2" t="s">
        <v>70</v>
      </c>
      <c r="I61" s="2" t="s">
        <v>254</v>
      </c>
    </row>
    <row r="62" customFormat="false" ht="35.05" hidden="false" customHeight="false" outlineLevel="0" collapsed="false">
      <c r="A62" s="2" t="s">
        <v>255</v>
      </c>
      <c r="B62" s="2" t="s">
        <v>11</v>
      </c>
      <c r="C62" s="2" t="s">
        <v>243</v>
      </c>
      <c r="D62" s="2" t="s">
        <v>256</v>
      </c>
      <c r="E62" s="2" t="s">
        <v>38</v>
      </c>
      <c r="F62" s="2" t="s">
        <v>55</v>
      </c>
      <c r="G62" s="2" t="n">
        <v>1</v>
      </c>
      <c r="H62" s="2" t="s">
        <v>70</v>
      </c>
      <c r="I62" s="2" t="s">
        <v>257</v>
      </c>
    </row>
    <row r="63" customFormat="false" ht="15" hidden="false" customHeight="false" outlineLevel="0" collapsed="false">
      <c r="A63" s="2" t="s">
        <v>258</v>
      </c>
      <c r="B63" s="2" t="s">
        <v>11</v>
      </c>
      <c r="C63" s="2" t="s">
        <v>81</v>
      </c>
      <c r="D63" s="2" t="s">
        <v>259</v>
      </c>
      <c r="E63" s="2" t="s">
        <v>38</v>
      </c>
      <c r="F63" s="2" t="s">
        <v>55</v>
      </c>
      <c r="G63" s="2" t="n">
        <v>4</v>
      </c>
      <c r="H63" s="2" t="s">
        <v>70</v>
      </c>
      <c r="I63" s="2" t="s">
        <v>260</v>
      </c>
    </row>
    <row r="64" customFormat="false" ht="15" hidden="false" customHeight="false" outlineLevel="0" collapsed="false">
      <c r="A64" s="2" t="s">
        <v>261</v>
      </c>
      <c r="B64" s="2" t="s">
        <v>11</v>
      </c>
      <c r="C64" s="2" t="s">
        <v>81</v>
      </c>
      <c r="D64" s="2" t="s">
        <v>262</v>
      </c>
      <c r="E64" s="2" t="s">
        <v>38</v>
      </c>
      <c r="F64" s="2" t="s">
        <v>55</v>
      </c>
      <c r="G64" s="2" t="n">
        <v>1</v>
      </c>
      <c r="H64" s="2" t="s">
        <v>70</v>
      </c>
      <c r="I64" s="2" t="s">
        <v>263</v>
      </c>
    </row>
    <row r="65" customFormat="false" ht="15" hidden="false" customHeight="false" outlineLevel="0" collapsed="false">
      <c r="A65" s="2" t="s">
        <v>264</v>
      </c>
      <c r="B65" s="2" t="s">
        <v>11</v>
      </c>
      <c r="C65" s="2" t="s">
        <v>81</v>
      </c>
      <c r="D65" s="2" t="s">
        <v>265</v>
      </c>
      <c r="E65" s="2" t="s">
        <v>38</v>
      </c>
      <c r="F65" s="2" t="s">
        <v>55</v>
      </c>
      <c r="G65" s="2" t="n">
        <v>1</v>
      </c>
      <c r="H65" s="2" t="s">
        <v>70</v>
      </c>
      <c r="I65" s="2" t="s">
        <v>266</v>
      </c>
    </row>
    <row r="66" customFormat="false" ht="15" hidden="false" customHeight="false" outlineLevel="0" collapsed="false">
      <c r="A66" s="2" t="s">
        <v>267</v>
      </c>
      <c r="B66" s="2" t="s">
        <v>11</v>
      </c>
      <c r="C66" s="2" t="s">
        <v>81</v>
      </c>
      <c r="D66" s="2" t="s">
        <v>268</v>
      </c>
      <c r="E66" s="2" t="s">
        <v>38</v>
      </c>
      <c r="F66" s="2" t="s">
        <v>55</v>
      </c>
      <c r="G66" s="2" t="n">
        <v>1</v>
      </c>
      <c r="H66" s="2" t="s">
        <v>70</v>
      </c>
      <c r="I66" s="2" t="s">
        <v>269</v>
      </c>
    </row>
    <row r="67" customFormat="false" ht="35.05" hidden="false" customHeight="false" outlineLevel="0" collapsed="false">
      <c r="A67" s="2" t="s">
        <v>270</v>
      </c>
      <c r="B67" s="2" t="s">
        <v>11</v>
      </c>
      <c r="C67" s="2" t="s">
        <v>271</v>
      </c>
      <c r="D67" s="2" t="s">
        <v>272</v>
      </c>
      <c r="E67" s="2" t="s">
        <v>38</v>
      </c>
      <c r="F67" s="2" t="s">
        <v>55</v>
      </c>
      <c r="G67" s="2" t="n">
        <v>1</v>
      </c>
      <c r="H67" s="2" t="s">
        <v>70</v>
      </c>
      <c r="I67" s="2" t="s">
        <v>273</v>
      </c>
    </row>
    <row r="68" customFormat="false" ht="23.85" hidden="false" customHeight="false" outlineLevel="0" collapsed="false">
      <c r="A68" s="2" t="s">
        <v>274</v>
      </c>
      <c r="B68" s="2" t="s">
        <v>11</v>
      </c>
      <c r="C68" s="2" t="s">
        <v>271</v>
      </c>
      <c r="D68" s="2" t="s">
        <v>275</v>
      </c>
      <c r="E68" s="2" t="s">
        <v>38</v>
      </c>
      <c r="F68" s="2" t="s">
        <v>55</v>
      </c>
      <c r="G68" s="2" t="n">
        <v>1</v>
      </c>
      <c r="H68" s="2" t="s">
        <v>70</v>
      </c>
      <c r="I68" s="2" t="s">
        <v>276</v>
      </c>
    </row>
    <row r="69" customFormat="false" ht="35.05" hidden="false" customHeight="false" outlineLevel="0" collapsed="false">
      <c r="A69" s="2" t="s">
        <v>277</v>
      </c>
      <c r="B69" s="2" t="s">
        <v>11</v>
      </c>
      <c r="C69" s="2" t="s">
        <v>271</v>
      </c>
      <c r="D69" s="2" t="s">
        <v>278</v>
      </c>
      <c r="E69" s="2" t="s">
        <v>38</v>
      </c>
      <c r="F69" s="2" t="s">
        <v>55</v>
      </c>
      <c r="G69" s="2" t="n">
        <v>1</v>
      </c>
      <c r="H69" s="2" t="s">
        <v>70</v>
      </c>
      <c r="I69" s="2" t="s">
        <v>279</v>
      </c>
    </row>
    <row r="70" customFormat="false" ht="23.85" hidden="false" customHeight="false" outlineLevel="0" collapsed="false">
      <c r="A70" s="2" t="s">
        <v>280</v>
      </c>
      <c r="B70" s="2" t="s">
        <v>11</v>
      </c>
      <c r="C70" s="2" t="s">
        <v>271</v>
      </c>
      <c r="D70" s="2" t="s">
        <v>281</v>
      </c>
      <c r="E70" s="2" t="s">
        <v>38</v>
      </c>
      <c r="F70" s="2" t="s">
        <v>55</v>
      </c>
      <c r="G70" s="2" t="n">
        <v>1</v>
      </c>
      <c r="H70" s="2" t="s">
        <v>70</v>
      </c>
      <c r="I70" s="2" t="s">
        <v>282</v>
      </c>
    </row>
    <row r="71" customFormat="false" ht="23.85" hidden="false" customHeight="false" outlineLevel="0" collapsed="false">
      <c r="A71" s="2" t="s">
        <v>283</v>
      </c>
      <c r="B71" s="2" t="s">
        <v>11</v>
      </c>
      <c r="C71" s="2" t="s">
        <v>271</v>
      </c>
      <c r="D71" s="2" t="s">
        <v>284</v>
      </c>
      <c r="E71" s="2" t="s">
        <v>38</v>
      </c>
      <c r="F71" s="2" t="s">
        <v>55</v>
      </c>
      <c r="G71" s="2" t="n">
        <v>1</v>
      </c>
      <c r="H71" s="2" t="s">
        <v>70</v>
      </c>
      <c r="I71" s="2" t="s">
        <v>285</v>
      </c>
    </row>
    <row r="72" customFormat="false" ht="35.05" hidden="false" customHeight="false" outlineLevel="0" collapsed="false">
      <c r="A72" s="2" t="s">
        <v>286</v>
      </c>
      <c r="B72" s="2" t="s">
        <v>11</v>
      </c>
      <c r="C72" s="2" t="s">
        <v>271</v>
      </c>
      <c r="D72" s="2" t="s">
        <v>287</v>
      </c>
      <c r="E72" s="2" t="s">
        <v>38</v>
      </c>
      <c r="F72" s="2" t="s">
        <v>55</v>
      </c>
      <c r="G72" s="2" t="n">
        <v>1</v>
      </c>
      <c r="H72" s="2" t="s">
        <v>70</v>
      </c>
      <c r="I72" s="2" t="s">
        <v>288</v>
      </c>
    </row>
    <row r="73" customFormat="false" ht="35.05" hidden="false" customHeight="false" outlineLevel="0" collapsed="false">
      <c r="A73" s="2" t="s">
        <v>289</v>
      </c>
      <c r="B73" s="2" t="s">
        <v>11</v>
      </c>
      <c r="C73" s="2" t="s">
        <v>271</v>
      </c>
      <c r="D73" s="2" t="s">
        <v>290</v>
      </c>
      <c r="E73" s="2" t="s">
        <v>38</v>
      </c>
      <c r="F73" s="2" t="s">
        <v>55</v>
      </c>
      <c r="G73" s="2" t="n">
        <v>1</v>
      </c>
      <c r="H73" s="2" t="s">
        <v>70</v>
      </c>
      <c r="I73" s="2" t="s">
        <v>291</v>
      </c>
    </row>
    <row r="74" customFormat="false" ht="35.05" hidden="false" customHeight="false" outlineLevel="0" collapsed="false">
      <c r="A74" s="2" t="s">
        <v>292</v>
      </c>
      <c r="B74" s="2" t="s">
        <v>11</v>
      </c>
      <c r="C74" s="2" t="s">
        <v>271</v>
      </c>
      <c r="D74" s="2" t="s">
        <v>293</v>
      </c>
      <c r="E74" s="2" t="s">
        <v>38</v>
      </c>
      <c r="F74" s="2" t="s">
        <v>55</v>
      </c>
      <c r="G74" s="2" t="n">
        <v>1</v>
      </c>
      <c r="H74" s="2" t="s">
        <v>70</v>
      </c>
      <c r="I74" s="2" t="s">
        <v>294</v>
      </c>
    </row>
    <row r="75" customFormat="false" ht="15" hidden="false" customHeight="false" outlineLevel="0" collapsed="false">
      <c r="A75" s="2" t="s">
        <v>295</v>
      </c>
      <c r="B75" s="2" t="s">
        <v>11</v>
      </c>
      <c r="C75" s="2" t="s">
        <v>271</v>
      </c>
      <c r="D75" s="2" t="s">
        <v>296</v>
      </c>
      <c r="E75" s="2" t="s">
        <v>38</v>
      </c>
      <c r="F75" s="2" t="s">
        <v>55</v>
      </c>
      <c r="G75" s="2" t="n">
        <v>1</v>
      </c>
      <c r="H75" s="2" t="s">
        <v>70</v>
      </c>
      <c r="I75" s="2" t="s">
        <v>297</v>
      </c>
    </row>
    <row r="76" customFormat="false" ht="15" hidden="false" customHeight="false" outlineLevel="0" collapsed="false">
      <c r="A76" s="2" t="s">
        <v>298</v>
      </c>
      <c r="B76" s="2" t="s">
        <v>20</v>
      </c>
      <c r="C76" s="2" t="s">
        <v>85</v>
      </c>
      <c r="D76" s="2" t="s">
        <v>299</v>
      </c>
      <c r="E76" s="2" t="s">
        <v>38</v>
      </c>
      <c r="F76" s="2" t="s">
        <v>55</v>
      </c>
      <c r="G76" s="2" t="n">
        <v>1</v>
      </c>
      <c r="H76" s="2" t="s">
        <v>87</v>
      </c>
      <c r="I76" s="2" t="s">
        <v>300</v>
      </c>
    </row>
    <row r="77" customFormat="false" ht="15" hidden="false" customHeight="false" outlineLevel="0" collapsed="false">
      <c r="A77" s="2" t="s">
        <v>301</v>
      </c>
      <c r="B77" s="2" t="s">
        <v>20</v>
      </c>
      <c r="C77" s="2" t="s">
        <v>85</v>
      </c>
      <c r="D77" s="2" t="s">
        <v>302</v>
      </c>
      <c r="E77" s="2" t="s">
        <v>38</v>
      </c>
      <c r="F77" s="2" t="s">
        <v>55</v>
      </c>
      <c r="G77" s="2" t="n">
        <v>1</v>
      </c>
      <c r="H77" s="2" t="s">
        <v>87</v>
      </c>
      <c r="I77" s="2" t="s">
        <v>303</v>
      </c>
    </row>
    <row r="78" customFormat="false" ht="15" hidden="false" customHeight="false" outlineLevel="0" collapsed="false">
      <c r="A78" s="2" t="s">
        <v>304</v>
      </c>
      <c r="B78" s="2" t="s">
        <v>20</v>
      </c>
      <c r="C78" s="2" t="s">
        <v>85</v>
      </c>
      <c r="D78" s="2" t="s">
        <v>305</v>
      </c>
      <c r="E78" s="2" t="s">
        <v>38</v>
      </c>
      <c r="F78" s="2" t="s">
        <v>55</v>
      </c>
      <c r="G78" s="2" t="n">
        <v>1</v>
      </c>
      <c r="H78" s="2" t="s">
        <v>87</v>
      </c>
      <c r="I78" s="2" t="s">
        <v>306</v>
      </c>
    </row>
    <row r="79" customFormat="false" ht="23.85" hidden="false" customHeight="false" outlineLevel="0" collapsed="false">
      <c r="A79" s="2" t="s">
        <v>307</v>
      </c>
      <c r="B79" s="2" t="s">
        <v>20</v>
      </c>
      <c r="C79" s="2" t="s">
        <v>85</v>
      </c>
      <c r="D79" s="2" t="s">
        <v>308</v>
      </c>
      <c r="E79" s="2" t="s">
        <v>38</v>
      </c>
      <c r="F79" s="2" t="s">
        <v>55</v>
      </c>
      <c r="G79" s="2" t="n">
        <v>5</v>
      </c>
      <c r="H79" s="2" t="s">
        <v>87</v>
      </c>
      <c r="I79" s="2" t="s">
        <v>309</v>
      </c>
    </row>
    <row r="80" customFormat="false" ht="23.85" hidden="false" customHeight="false" outlineLevel="0" collapsed="false">
      <c r="A80" s="2" t="s">
        <v>310</v>
      </c>
      <c r="B80" s="2" t="s">
        <v>20</v>
      </c>
      <c r="C80" s="2" t="s">
        <v>85</v>
      </c>
      <c r="D80" s="2" t="s">
        <v>311</v>
      </c>
      <c r="E80" s="2" t="s">
        <v>38</v>
      </c>
      <c r="F80" s="2" t="s">
        <v>55</v>
      </c>
      <c r="G80" s="2" t="n">
        <v>1</v>
      </c>
      <c r="H80" s="2" t="s">
        <v>87</v>
      </c>
      <c r="I80" s="2" t="s">
        <v>312</v>
      </c>
    </row>
    <row r="81" customFormat="false" ht="15" hidden="false" customHeight="false" outlineLevel="0" collapsed="false">
      <c r="A81" s="2" t="s">
        <v>313</v>
      </c>
      <c r="B81" s="2" t="s">
        <v>20</v>
      </c>
      <c r="C81" s="2" t="s">
        <v>85</v>
      </c>
      <c r="D81" s="2" t="s">
        <v>314</v>
      </c>
      <c r="E81" s="2" t="s">
        <v>38</v>
      </c>
      <c r="F81" s="2" t="s">
        <v>55</v>
      </c>
      <c r="G81" s="2" t="n">
        <v>1</v>
      </c>
      <c r="H81" s="2" t="s">
        <v>87</v>
      </c>
      <c r="I81" s="2" t="s">
        <v>315</v>
      </c>
    </row>
    <row r="82" customFormat="false" ht="15" hidden="false" customHeight="false" outlineLevel="0" collapsed="false">
      <c r="A82" s="2" t="s">
        <v>316</v>
      </c>
      <c r="B82" s="2" t="s">
        <v>20</v>
      </c>
      <c r="C82" s="2" t="s">
        <v>85</v>
      </c>
      <c r="D82" s="2" t="s">
        <v>317</v>
      </c>
      <c r="E82" s="2" t="s">
        <v>38</v>
      </c>
      <c r="F82" s="2" t="s">
        <v>55</v>
      </c>
      <c r="G82" s="2" t="n">
        <v>1</v>
      </c>
      <c r="H82" s="2" t="s">
        <v>87</v>
      </c>
      <c r="I82" s="2" t="s">
        <v>318</v>
      </c>
    </row>
    <row r="83" customFormat="false" ht="35.05" hidden="false" customHeight="false" outlineLevel="0" collapsed="false">
      <c r="A83" s="2" t="s">
        <v>319</v>
      </c>
      <c r="B83" s="2" t="s">
        <v>20</v>
      </c>
      <c r="C83" s="2" t="s">
        <v>320</v>
      </c>
      <c r="D83" s="2" t="s">
        <v>321</v>
      </c>
      <c r="E83" s="2" t="s">
        <v>38</v>
      </c>
      <c r="F83" s="2" t="s">
        <v>55</v>
      </c>
      <c r="G83" s="2" t="n">
        <v>1</v>
      </c>
      <c r="H83" s="2" t="s">
        <v>87</v>
      </c>
      <c r="I83" s="2" t="s">
        <v>322</v>
      </c>
    </row>
    <row r="84" customFormat="false" ht="23.85" hidden="false" customHeight="false" outlineLevel="0" collapsed="false">
      <c r="A84" s="2" t="s">
        <v>323</v>
      </c>
      <c r="B84" s="2" t="s">
        <v>20</v>
      </c>
      <c r="C84" s="2" t="s">
        <v>320</v>
      </c>
      <c r="D84" s="2" t="s">
        <v>324</v>
      </c>
      <c r="E84" s="2" t="s">
        <v>38</v>
      </c>
      <c r="F84" s="2" t="s">
        <v>55</v>
      </c>
      <c r="G84" s="2" t="n">
        <v>1</v>
      </c>
      <c r="H84" s="2" t="s">
        <v>87</v>
      </c>
      <c r="I84" s="2" t="s">
        <v>325</v>
      </c>
    </row>
    <row r="85" customFormat="false" ht="23.85" hidden="false" customHeight="false" outlineLevel="0" collapsed="false">
      <c r="A85" s="2" t="s">
        <v>326</v>
      </c>
      <c r="B85" s="2" t="s">
        <v>20</v>
      </c>
      <c r="C85" s="2" t="s">
        <v>320</v>
      </c>
      <c r="D85" s="2" t="s">
        <v>327</v>
      </c>
      <c r="E85" s="2" t="s">
        <v>38</v>
      </c>
      <c r="F85" s="2" t="s">
        <v>55</v>
      </c>
      <c r="G85" s="2" t="n">
        <v>1</v>
      </c>
      <c r="H85" s="2" t="s">
        <v>87</v>
      </c>
      <c r="I85" s="2" t="s">
        <v>328</v>
      </c>
    </row>
    <row r="86" customFormat="false" ht="15" hidden="false" customHeight="false" outlineLevel="0" collapsed="false">
      <c r="A86" s="2" t="s">
        <v>329</v>
      </c>
      <c r="B86" s="2" t="s">
        <v>20</v>
      </c>
      <c r="C86" s="2" t="s">
        <v>320</v>
      </c>
      <c r="D86" s="2" t="s">
        <v>330</v>
      </c>
      <c r="E86" s="2" t="s">
        <v>38</v>
      </c>
      <c r="F86" s="2" t="s">
        <v>55</v>
      </c>
      <c r="G86" s="2" t="n">
        <v>1</v>
      </c>
      <c r="H86" s="2" t="s">
        <v>87</v>
      </c>
      <c r="I86" s="2" t="s">
        <v>331</v>
      </c>
    </row>
    <row r="87" customFormat="false" ht="35.05" hidden="false" customHeight="false" outlineLevel="0" collapsed="false">
      <c r="A87" s="2" t="s">
        <v>332</v>
      </c>
      <c r="B87" s="2" t="s">
        <v>20</v>
      </c>
      <c r="C87" s="2" t="s">
        <v>90</v>
      </c>
      <c r="D87" s="2" t="s">
        <v>333</v>
      </c>
      <c r="E87" s="2" t="s">
        <v>38</v>
      </c>
      <c r="F87" s="2" t="s">
        <v>55</v>
      </c>
      <c r="G87" s="2" t="n">
        <v>1</v>
      </c>
      <c r="H87" s="2" t="s">
        <v>92</v>
      </c>
      <c r="I87" s="2" t="s">
        <v>334</v>
      </c>
    </row>
    <row r="88" customFormat="false" ht="23.85" hidden="false" customHeight="false" outlineLevel="0" collapsed="false">
      <c r="A88" s="2" t="s">
        <v>335</v>
      </c>
      <c r="B88" s="2" t="s">
        <v>20</v>
      </c>
      <c r="C88" s="2" t="s">
        <v>90</v>
      </c>
      <c r="D88" s="2" t="s">
        <v>336</v>
      </c>
      <c r="E88" s="2" t="s">
        <v>38</v>
      </c>
      <c r="F88" s="2" t="s">
        <v>55</v>
      </c>
      <c r="G88" s="2" t="n">
        <v>1</v>
      </c>
      <c r="H88" s="2" t="s">
        <v>92</v>
      </c>
      <c r="I88" s="2" t="s">
        <v>337</v>
      </c>
    </row>
    <row r="89" customFormat="false" ht="23.85" hidden="false" customHeight="false" outlineLevel="0" collapsed="false">
      <c r="A89" s="2" t="s">
        <v>338</v>
      </c>
      <c r="B89" s="2" t="s">
        <v>20</v>
      </c>
      <c r="C89" s="2" t="s">
        <v>90</v>
      </c>
      <c r="D89" s="2" t="s">
        <v>339</v>
      </c>
      <c r="E89" s="2" t="s">
        <v>38</v>
      </c>
      <c r="F89" s="2" t="s">
        <v>55</v>
      </c>
      <c r="G89" s="2" t="n">
        <v>1</v>
      </c>
      <c r="H89" s="2" t="s">
        <v>92</v>
      </c>
      <c r="I89" s="2" t="s">
        <v>340</v>
      </c>
    </row>
    <row r="90" customFormat="false" ht="23.85" hidden="false" customHeight="false" outlineLevel="0" collapsed="false">
      <c r="A90" s="2" t="s">
        <v>341</v>
      </c>
      <c r="B90" s="2" t="s">
        <v>20</v>
      </c>
      <c r="C90" s="2" t="s">
        <v>90</v>
      </c>
      <c r="D90" s="2" t="s">
        <v>342</v>
      </c>
      <c r="E90" s="2" t="s">
        <v>38</v>
      </c>
      <c r="F90" s="2" t="s">
        <v>55</v>
      </c>
      <c r="G90" s="2" t="n">
        <v>1</v>
      </c>
      <c r="H90" s="2" t="s">
        <v>92</v>
      </c>
      <c r="I90" s="2" t="s">
        <v>343</v>
      </c>
    </row>
    <row r="91" customFormat="false" ht="23.85" hidden="false" customHeight="false" outlineLevel="0" collapsed="false">
      <c r="A91" s="2" t="s">
        <v>344</v>
      </c>
      <c r="B91" s="2" t="s">
        <v>20</v>
      </c>
      <c r="C91" s="2" t="s">
        <v>90</v>
      </c>
      <c r="D91" s="2" t="s">
        <v>345</v>
      </c>
      <c r="E91" s="2" t="s">
        <v>38</v>
      </c>
      <c r="F91" s="2" t="s">
        <v>55</v>
      </c>
      <c r="G91" s="2" t="n">
        <v>1</v>
      </c>
      <c r="H91" s="2" t="s">
        <v>92</v>
      </c>
      <c r="I91" s="2" t="s">
        <v>346</v>
      </c>
    </row>
    <row r="92" customFormat="false" ht="23.85" hidden="false" customHeight="false" outlineLevel="0" collapsed="false">
      <c r="A92" s="2" t="s">
        <v>347</v>
      </c>
      <c r="B92" s="2" t="s">
        <v>20</v>
      </c>
      <c r="C92" s="2" t="s">
        <v>95</v>
      </c>
      <c r="D92" s="2" t="s">
        <v>348</v>
      </c>
      <c r="E92" s="2" t="s">
        <v>38</v>
      </c>
      <c r="F92" s="2" t="s">
        <v>55</v>
      </c>
      <c r="G92" s="2" t="n">
        <v>1</v>
      </c>
      <c r="H92" s="2" t="s">
        <v>92</v>
      </c>
      <c r="I92" s="2" t="s">
        <v>349</v>
      </c>
    </row>
    <row r="93" customFormat="false" ht="23.85" hidden="false" customHeight="false" outlineLevel="0" collapsed="false">
      <c r="A93" s="2" t="s">
        <v>350</v>
      </c>
      <c r="B93" s="2" t="s">
        <v>20</v>
      </c>
      <c r="C93" s="2" t="s">
        <v>95</v>
      </c>
      <c r="D93" s="2" t="s">
        <v>351</v>
      </c>
      <c r="E93" s="2" t="s">
        <v>38</v>
      </c>
      <c r="F93" s="2" t="s">
        <v>55</v>
      </c>
      <c r="G93" s="2" t="n">
        <v>1</v>
      </c>
      <c r="H93" s="2" t="s">
        <v>92</v>
      </c>
      <c r="I93" s="2" t="s">
        <v>352</v>
      </c>
    </row>
    <row r="94" customFormat="false" ht="23.85" hidden="false" customHeight="false" outlineLevel="0" collapsed="false">
      <c r="A94" s="2" t="s">
        <v>353</v>
      </c>
      <c r="B94" s="2" t="s">
        <v>20</v>
      </c>
      <c r="C94" s="2" t="s">
        <v>95</v>
      </c>
      <c r="D94" s="2" t="s">
        <v>354</v>
      </c>
      <c r="E94" s="2" t="s">
        <v>38</v>
      </c>
      <c r="F94" s="2" t="s">
        <v>55</v>
      </c>
      <c r="G94" s="2" t="n">
        <v>1</v>
      </c>
      <c r="H94" s="2" t="s">
        <v>92</v>
      </c>
      <c r="I94" s="2" t="s">
        <v>355</v>
      </c>
    </row>
    <row r="95" customFormat="false" ht="23.85" hidden="false" customHeight="false" outlineLevel="0" collapsed="false">
      <c r="A95" s="2" t="s">
        <v>356</v>
      </c>
      <c r="B95" s="2" t="s">
        <v>20</v>
      </c>
      <c r="C95" s="2" t="s">
        <v>95</v>
      </c>
      <c r="D95" s="2" t="s">
        <v>357</v>
      </c>
      <c r="E95" s="2" t="s">
        <v>38</v>
      </c>
      <c r="F95" s="2" t="s">
        <v>55</v>
      </c>
      <c r="G95" s="2" t="n">
        <v>1</v>
      </c>
      <c r="H95" s="2" t="s">
        <v>92</v>
      </c>
      <c r="I95" s="2" t="s">
        <v>358</v>
      </c>
    </row>
    <row r="96" customFormat="false" ht="23.85" hidden="false" customHeight="false" outlineLevel="0" collapsed="false">
      <c r="A96" s="2" t="s">
        <v>359</v>
      </c>
      <c r="B96" s="2" t="s">
        <v>20</v>
      </c>
      <c r="C96" s="2" t="s">
        <v>95</v>
      </c>
      <c r="D96" s="2" t="s">
        <v>360</v>
      </c>
      <c r="E96" s="2" t="s">
        <v>38</v>
      </c>
      <c r="F96" s="2" t="s">
        <v>55</v>
      </c>
      <c r="G96" s="2" t="n">
        <v>1</v>
      </c>
      <c r="H96" s="2" t="s">
        <v>92</v>
      </c>
      <c r="I96" s="2" t="s">
        <v>361</v>
      </c>
    </row>
    <row r="97" customFormat="false" ht="15" hidden="false" customHeight="false" outlineLevel="0" collapsed="false">
      <c r="A97" s="2" t="s">
        <v>362</v>
      </c>
      <c r="B97" s="2" t="s">
        <v>20</v>
      </c>
      <c r="C97" s="2" t="s">
        <v>95</v>
      </c>
      <c r="D97" s="2" t="s">
        <v>363</v>
      </c>
      <c r="E97" s="2" t="s">
        <v>38</v>
      </c>
      <c r="F97" s="2" t="s">
        <v>55</v>
      </c>
      <c r="G97" s="2" t="n">
        <v>4</v>
      </c>
      <c r="H97" s="2" t="s">
        <v>92</v>
      </c>
      <c r="I97" s="2" t="s">
        <v>364</v>
      </c>
    </row>
    <row r="98" customFormat="false" ht="23.85" hidden="false" customHeight="false" outlineLevel="0" collapsed="false">
      <c r="A98" s="2" t="s">
        <v>365</v>
      </c>
      <c r="B98" s="2" t="s">
        <v>20</v>
      </c>
      <c r="C98" s="2" t="s">
        <v>366</v>
      </c>
      <c r="D98" s="2" t="s">
        <v>367</v>
      </c>
      <c r="E98" s="2" t="s">
        <v>38</v>
      </c>
      <c r="F98" s="2" t="s">
        <v>55</v>
      </c>
      <c r="G98" s="2" t="n">
        <v>1</v>
      </c>
      <c r="H98" s="2" t="s">
        <v>92</v>
      </c>
      <c r="I98" s="2" t="s">
        <v>368</v>
      </c>
    </row>
    <row r="99" customFormat="false" ht="15" hidden="false" customHeight="false" outlineLevel="0" collapsed="false">
      <c r="A99" s="2" t="s">
        <v>369</v>
      </c>
      <c r="B99" s="2" t="s">
        <v>20</v>
      </c>
      <c r="C99" s="2" t="s">
        <v>366</v>
      </c>
      <c r="D99" s="2" t="s">
        <v>370</v>
      </c>
      <c r="E99" s="2" t="s">
        <v>38</v>
      </c>
      <c r="F99" s="2" t="s">
        <v>55</v>
      </c>
      <c r="G99" s="2" t="n">
        <v>1</v>
      </c>
      <c r="H99" s="2" t="s">
        <v>92</v>
      </c>
      <c r="I99" s="2" t="s">
        <v>371</v>
      </c>
    </row>
    <row r="100" customFormat="false" ht="15" hidden="false" customHeight="false" outlineLevel="0" collapsed="false">
      <c r="A100" s="2" t="s">
        <v>372</v>
      </c>
      <c r="B100" s="2" t="s">
        <v>20</v>
      </c>
      <c r="C100" s="2" t="s">
        <v>366</v>
      </c>
      <c r="D100" s="2" t="s">
        <v>373</v>
      </c>
      <c r="E100" s="2" t="s">
        <v>38</v>
      </c>
      <c r="F100" s="2" t="s">
        <v>55</v>
      </c>
      <c r="G100" s="2" t="n">
        <v>1</v>
      </c>
      <c r="H100" s="2" t="s">
        <v>92</v>
      </c>
      <c r="I100" s="2" t="s">
        <v>374</v>
      </c>
    </row>
    <row r="101" customFormat="false" ht="15" hidden="false" customHeight="false" outlineLevel="0" collapsed="false">
      <c r="A101" s="2" t="s">
        <v>375</v>
      </c>
      <c r="B101" s="2" t="s">
        <v>20</v>
      </c>
      <c r="C101" s="2" t="s">
        <v>366</v>
      </c>
      <c r="D101" s="2" t="s">
        <v>376</v>
      </c>
      <c r="E101" s="2" t="s">
        <v>38</v>
      </c>
      <c r="F101" s="2" t="s">
        <v>55</v>
      </c>
      <c r="G101" s="2" t="n">
        <v>1</v>
      </c>
      <c r="H101" s="2" t="s">
        <v>92</v>
      </c>
      <c r="I101" s="2" t="s">
        <v>377</v>
      </c>
    </row>
    <row r="102" customFormat="false" ht="15" hidden="false" customHeight="false" outlineLevel="0" collapsed="false">
      <c r="A102" s="2" t="s">
        <v>378</v>
      </c>
      <c r="B102" s="2" t="s">
        <v>20</v>
      </c>
      <c r="C102" s="2" t="s">
        <v>379</v>
      </c>
      <c r="D102" s="2" t="s">
        <v>380</v>
      </c>
      <c r="E102" s="2" t="s">
        <v>38</v>
      </c>
      <c r="F102" s="2" t="s">
        <v>55</v>
      </c>
      <c r="G102" s="2" t="n">
        <v>1</v>
      </c>
      <c r="H102" s="2" t="s">
        <v>92</v>
      </c>
      <c r="I102" s="2" t="s">
        <v>381</v>
      </c>
    </row>
    <row r="103" customFormat="false" ht="35.05" hidden="false" customHeight="false" outlineLevel="0" collapsed="false">
      <c r="A103" s="2" t="s">
        <v>382</v>
      </c>
      <c r="B103" s="2" t="s">
        <v>20</v>
      </c>
      <c r="C103" s="2" t="s">
        <v>379</v>
      </c>
      <c r="D103" s="2" t="s">
        <v>383</v>
      </c>
      <c r="E103" s="2" t="s">
        <v>38</v>
      </c>
      <c r="F103" s="2" t="s">
        <v>55</v>
      </c>
      <c r="G103" s="2" t="n">
        <v>1</v>
      </c>
      <c r="H103" s="2" t="s">
        <v>92</v>
      </c>
      <c r="I103" s="2" t="s">
        <v>384</v>
      </c>
    </row>
    <row r="104" customFormat="false" ht="23.85" hidden="false" customHeight="false" outlineLevel="0" collapsed="false">
      <c r="A104" s="2" t="s">
        <v>385</v>
      </c>
      <c r="B104" s="2" t="s">
        <v>20</v>
      </c>
      <c r="C104" s="2" t="s">
        <v>379</v>
      </c>
      <c r="D104" s="2" t="s">
        <v>386</v>
      </c>
      <c r="E104" s="2" t="s">
        <v>38</v>
      </c>
      <c r="F104" s="2" t="s">
        <v>55</v>
      </c>
      <c r="G104" s="2" t="n">
        <v>1</v>
      </c>
      <c r="H104" s="2" t="s">
        <v>92</v>
      </c>
      <c r="I104" s="2" t="s">
        <v>387</v>
      </c>
    </row>
    <row r="105" customFormat="false" ht="23.85" hidden="false" customHeight="false" outlineLevel="0" collapsed="false">
      <c r="A105" s="2" t="s">
        <v>388</v>
      </c>
      <c r="B105" s="2" t="s">
        <v>20</v>
      </c>
      <c r="C105" s="2" t="s">
        <v>379</v>
      </c>
      <c r="D105" s="2" t="s">
        <v>389</v>
      </c>
      <c r="E105" s="2" t="s">
        <v>38</v>
      </c>
      <c r="F105" s="2" t="s">
        <v>55</v>
      </c>
      <c r="G105" s="2" t="n">
        <v>1</v>
      </c>
      <c r="H105" s="2" t="s">
        <v>92</v>
      </c>
      <c r="I105" s="2" t="s">
        <v>390</v>
      </c>
    </row>
    <row r="106" customFormat="false" ht="15" hidden="false" customHeight="false" outlineLevel="0" collapsed="false">
      <c r="A106" s="2" t="s">
        <v>391</v>
      </c>
      <c r="B106" s="2" t="s">
        <v>20</v>
      </c>
      <c r="C106" s="2" t="s">
        <v>99</v>
      </c>
      <c r="D106" s="2" t="s">
        <v>392</v>
      </c>
      <c r="E106" s="2" t="s">
        <v>38</v>
      </c>
      <c r="F106" s="2" t="s">
        <v>55</v>
      </c>
      <c r="G106" s="2" t="n">
        <v>1</v>
      </c>
      <c r="H106" s="2" t="s">
        <v>92</v>
      </c>
      <c r="I106" s="2" t="s">
        <v>393</v>
      </c>
    </row>
    <row r="107" customFormat="false" ht="15" hidden="false" customHeight="false" outlineLevel="0" collapsed="false">
      <c r="A107" s="2" t="s">
        <v>394</v>
      </c>
      <c r="B107" s="2" t="s">
        <v>20</v>
      </c>
      <c r="C107" s="2" t="s">
        <v>99</v>
      </c>
      <c r="D107" s="2" t="s">
        <v>395</v>
      </c>
      <c r="E107" s="2" t="s">
        <v>38</v>
      </c>
      <c r="F107" s="2" t="s">
        <v>55</v>
      </c>
      <c r="G107" s="2" t="n">
        <v>1</v>
      </c>
      <c r="H107" s="2" t="s">
        <v>92</v>
      </c>
      <c r="I107" s="2" t="s">
        <v>396</v>
      </c>
    </row>
    <row r="108" customFormat="false" ht="23.85" hidden="false" customHeight="false" outlineLevel="0" collapsed="false">
      <c r="A108" s="2" t="s">
        <v>397</v>
      </c>
      <c r="B108" s="2" t="s">
        <v>20</v>
      </c>
      <c r="C108" s="2" t="s">
        <v>99</v>
      </c>
      <c r="D108" s="2" t="s">
        <v>398</v>
      </c>
      <c r="E108" s="2" t="s">
        <v>38</v>
      </c>
      <c r="F108" s="2" t="s">
        <v>55</v>
      </c>
      <c r="G108" s="2" t="n">
        <v>1</v>
      </c>
      <c r="H108" s="2" t="s">
        <v>92</v>
      </c>
      <c r="I108" s="2" t="s">
        <v>399</v>
      </c>
    </row>
    <row r="109" customFormat="false" ht="15" hidden="false" customHeight="false" outlineLevel="0" collapsed="false">
      <c r="A109" s="2" t="s">
        <v>400</v>
      </c>
      <c r="B109" s="2" t="s">
        <v>20</v>
      </c>
      <c r="C109" s="2" t="s">
        <v>401</v>
      </c>
      <c r="D109" s="2" t="s">
        <v>402</v>
      </c>
      <c r="E109" s="2" t="s">
        <v>38</v>
      </c>
      <c r="F109" s="2" t="s">
        <v>55</v>
      </c>
      <c r="G109" s="2" t="n">
        <v>1</v>
      </c>
      <c r="H109" s="2" t="s">
        <v>92</v>
      </c>
      <c r="I109" s="2" t="s">
        <v>403</v>
      </c>
    </row>
    <row r="110" customFormat="false" ht="23.85" hidden="false" customHeight="false" outlineLevel="0" collapsed="false">
      <c r="A110" s="2" t="s">
        <v>404</v>
      </c>
      <c r="B110" s="2" t="s">
        <v>20</v>
      </c>
      <c r="C110" s="2" t="s">
        <v>401</v>
      </c>
      <c r="D110" s="2" t="s">
        <v>405</v>
      </c>
      <c r="E110" s="2" t="s">
        <v>38</v>
      </c>
      <c r="F110" s="2" t="s">
        <v>55</v>
      </c>
      <c r="G110" s="2" t="n">
        <v>1</v>
      </c>
      <c r="H110" s="2" t="s">
        <v>92</v>
      </c>
      <c r="I110" s="2" t="s">
        <v>406</v>
      </c>
    </row>
    <row r="111" customFormat="false" ht="35.05" hidden="false" customHeight="false" outlineLevel="0" collapsed="false">
      <c r="A111" s="2" t="s">
        <v>407</v>
      </c>
      <c r="B111" s="2" t="s">
        <v>20</v>
      </c>
      <c r="C111" s="2" t="s">
        <v>401</v>
      </c>
      <c r="D111" s="2" t="s">
        <v>408</v>
      </c>
      <c r="E111" s="2" t="s">
        <v>38</v>
      </c>
      <c r="F111" s="2" t="s">
        <v>55</v>
      </c>
      <c r="G111" s="2" t="n">
        <v>1</v>
      </c>
      <c r="H111" s="2" t="s">
        <v>92</v>
      </c>
      <c r="I111" s="2" t="s">
        <v>409</v>
      </c>
    </row>
    <row r="112" customFormat="false" ht="23.85" hidden="false" customHeight="false" outlineLevel="0" collapsed="false">
      <c r="A112" s="2" t="s">
        <v>410</v>
      </c>
      <c r="B112" s="2" t="s">
        <v>20</v>
      </c>
      <c r="C112" s="2" t="s">
        <v>401</v>
      </c>
      <c r="D112" s="2" t="s">
        <v>411</v>
      </c>
      <c r="E112" s="2" t="s">
        <v>38</v>
      </c>
      <c r="F112" s="2" t="s">
        <v>55</v>
      </c>
      <c r="G112" s="2" t="n">
        <v>1</v>
      </c>
      <c r="H112" s="2" t="s">
        <v>92</v>
      </c>
      <c r="I112" s="2" t="s">
        <v>412</v>
      </c>
    </row>
    <row r="113" customFormat="false" ht="15" hidden="false" customHeight="false" outlineLevel="0" collapsed="false">
      <c r="A113" s="2" t="s">
        <v>413</v>
      </c>
      <c r="B113" s="2" t="s">
        <v>20</v>
      </c>
      <c r="C113" s="2" t="s">
        <v>401</v>
      </c>
      <c r="D113" s="2" t="s">
        <v>414</v>
      </c>
      <c r="E113" s="2" t="s">
        <v>38</v>
      </c>
      <c r="F113" s="2" t="s">
        <v>55</v>
      </c>
      <c r="G113" s="2" t="n">
        <v>1</v>
      </c>
      <c r="H113" s="2" t="s">
        <v>92</v>
      </c>
      <c r="I113" s="2" t="s">
        <v>415</v>
      </c>
    </row>
    <row r="114" customFormat="false" ht="35.05" hidden="false" customHeight="false" outlineLevel="0" collapsed="false">
      <c r="A114" s="2" t="s">
        <v>416</v>
      </c>
      <c r="B114" s="2" t="s">
        <v>20</v>
      </c>
      <c r="C114" s="2" t="s">
        <v>401</v>
      </c>
      <c r="D114" s="2" t="s">
        <v>417</v>
      </c>
      <c r="E114" s="2" t="s">
        <v>38</v>
      </c>
      <c r="F114" s="2" t="s">
        <v>55</v>
      </c>
      <c r="G114" s="2" t="n">
        <v>1</v>
      </c>
      <c r="H114" s="2" t="s">
        <v>92</v>
      </c>
      <c r="I114" s="2" t="s">
        <v>418</v>
      </c>
    </row>
    <row r="115" customFormat="false" ht="23.85" hidden="false" customHeight="false" outlineLevel="0" collapsed="false">
      <c r="A115" s="2" t="s">
        <v>419</v>
      </c>
      <c r="B115" s="2" t="s">
        <v>29</v>
      </c>
      <c r="C115" s="2" t="s">
        <v>420</v>
      </c>
      <c r="D115" s="2" t="s">
        <v>421</v>
      </c>
      <c r="E115" s="2" t="s">
        <v>38</v>
      </c>
      <c r="F115" s="2" t="s">
        <v>55</v>
      </c>
      <c r="G115" s="2" t="n">
        <v>1</v>
      </c>
      <c r="H115" s="2" t="s">
        <v>56</v>
      </c>
      <c r="I115" s="2" t="s">
        <v>422</v>
      </c>
    </row>
    <row r="116" customFormat="false" ht="35.05" hidden="false" customHeight="false" outlineLevel="0" collapsed="false">
      <c r="A116" s="2" t="s">
        <v>423</v>
      </c>
      <c r="B116" s="2" t="s">
        <v>29</v>
      </c>
      <c r="C116" s="2" t="s">
        <v>420</v>
      </c>
      <c r="D116" s="2" t="s">
        <v>424</v>
      </c>
      <c r="E116" s="2" t="s">
        <v>38</v>
      </c>
      <c r="F116" s="2" t="s">
        <v>55</v>
      </c>
      <c r="G116" s="2" t="n">
        <v>1</v>
      </c>
      <c r="H116" s="2" t="s">
        <v>56</v>
      </c>
      <c r="I116" s="2" t="s">
        <v>425</v>
      </c>
    </row>
    <row r="117" customFormat="false" ht="23.85" hidden="false" customHeight="false" outlineLevel="0" collapsed="false">
      <c r="A117" s="2" t="s">
        <v>426</v>
      </c>
      <c r="B117" s="2" t="s">
        <v>29</v>
      </c>
      <c r="C117" s="2" t="s">
        <v>420</v>
      </c>
      <c r="D117" s="2" t="s">
        <v>427</v>
      </c>
      <c r="E117" s="2" t="s">
        <v>38</v>
      </c>
      <c r="F117" s="2" t="s">
        <v>55</v>
      </c>
      <c r="G117" s="2" t="n">
        <v>1</v>
      </c>
      <c r="H117" s="2" t="s">
        <v>56</v>
      </c>
      <c r="I117" s="2" t="s">
        <v>428</v>
      </c>
    </row>
    <row r="118" customFormat="false" ht="35.05" hidden="false" customHeight="false" outlineLevel="0" collapsed="false">
      <c r="A118" s="2" t="s">
        <v>429</v>
      </c>
      <c r="B118" s="2" t="s">
        <v>29</v>
      </c>
      <c r="C118" s="2" t="s">
        <v>59</v>
      </c>
      <c r="D118" s="2" t="s">
        <v>430</v>
      </c>
      <c r="E118" s="2" t="s">
        <v>22</v>
      </c>
      <c r="F118" s="2" t="s">
        <v>55</v>
      </c>
      <c r="G118" s="2" t="n">
        <v>1</v>
      </c>
      <c r="H118" s="2" t="s">
        <v>56</v>
      </c>
      <c r="I118" s="2" t="s">
        <v>431</v>
      </c>
    </row>
    <row r="119" customFormat="false" ht="23.85" hidden="false" customHeight="false" outlineLevel="0" collapsed="false">
      <c r="A119" s="2" t="s">
        <v>432</v>
      </c>
      <c r="B119" s="2" t="s">
        <v>29</v>
      </c>
      <c r="C119" s="2" t="s">
        <v>124</v>
      </c>
      <c r="D119" s="2" t="s">
        <v>433</v>
      </c>
      <c r="E119" s="2" t="s">
        <v>22</v>
      </c>
      <c r="F119" s="2" t="s">
        <v>55</v>
      </c>
      <c r="G119" s="2" t="n">
        <v>4</v>
      </c>
      <c r="H119" s="2" t="s">
        <v>56</v>
      </c>
      <c r="I119" s="2" t="s">
        <v>434</v>
      </c>
    </row>
    <row r="120" customFormat="false" ht="35.05" hidden="false" customHeight="false" outlineLevel="0" collapsed="false">
      <c r="A120" s="2" t="s">
        <v>435</v>
      </c>
      <c r="B120" s="2" t="s">
        <v>29</v>
      </c>
      <c r="C120" s="2" t="s">
        <v>124</v>
      </c>
      <c r="D120" s="2" t="s">
        <v>436</v>
      </c>
      <c r="E120" s="2" t="s">
        <v>22</v>
      </c>
      <c r="F120" s="2" t="s">
        <v>55</v>
      </c>
      <c r="G120" s="2" t="n">
        <v>4</v>
      </c>
      <c r="H120" s="2" t="s">
        <v>56</v>
      </c>
      <c r="I120" s="2" t="s">
        <v>437</v>
      </c>
    </row>
    <row r="121" customFormat="false" ht="35.05" hidden="false" customHeight="false" outlineLevel="0" collapsed="false">
      <c r="A121" s="2" t="s">
        <v>438</v>
      </c>
      <c r="B121" s="2" t="s">
        <v>29</v>
      </c>
      <c r="C121" s="2" t="s">
        <v>124</v>
      </c>
      <c r="D121" s="2" t="s">
        <v>439</v>
      </c>
      <c r="E121" s="2" t="s">
        <v>22</v>
      </c>
      <c r="F121" s="2" t="s">
        <v>55</v>
      </c>
      <c r="G121" s="2" t="n">
        <v>1</v>
      </c>
      <c r="H121" s="2" t="s">
        <v>56</v>
      </c>
      <c r="I121" s="2" t="s">
        <v>440</v>
      </c>
    </row>
    <row r="122" customFormat="false" ht="15" hidden="false" customHeight="false" outlineLevel="0" collapsed="false">
      <c r="A122" s="2" t="s">
        <v>441</v>
      </c>
      <c r="B122" s="2" t="s">
        <v>11</v>
      </c>
      <c r="C122" s="2" t="s">
        <v>73</v>
      </c>
      <c r="D122" s="2" t="s">
        <v>442</v>
      </c>
      <c r="E122" s="2" t="s">
        <v>22</v>
      </c>
      <c r="F122" s="2" t="s">
        <v>55</v>
      </c>
      <c r="G122" s="2" t="n">
        <v>3</v>
      </c>
      <c r="H122" s="2" t="s">
        <v>70</v>
      </c>
      <c r="I122" s="2" t="s">
        <v>443</v>
      </c>
    </row>
    <row r="123" customFormat="false" ht="15" hidden="false" customHeight="false" outlineLevel="0" collapsed="false">
      <c r="A123" s="2" t="s">
        <v>444</v>
      </c>
      <c r="B123" s="2" t="s">
        <v>11</v>
      </c>
      <c r="C123" s="2" t="s">
        <v>73</v>
      </c>
      <c r="D123" s="2" t="s">
        <v>445</v>
      </c>
      <c r="E123" s="2" t="s">
        <v>22</v>
      </c>
      <c r="F123" s="2" t="s">
        <v>55</v>
      </c>
      <c r="G123" s="2" t="n">
        <v>3</v>
      </c>
      <c r="H123" s="2" t="s">
        <v>70</v>
      </c>
      <c r="I123" s="2" t="s">
        <v>446</v>
      </c>
    </row>
    <row r="124" customFormat="false" ht="15" hidden="false" customHeight="false" outlineLevel="0" collapsed="false">
      <c r="A124" s="2" t="s">
        <v>447</v>
      </c>
      <c r="B124" s="2" t="s">
        <v>11</v>
      </c>
      <c r="C124" s="2" t="s">
        <v>73</v>
      </c>
      <c r="D124" s="2" t="s">
        <v>448</v>
      </c>
      <c r="E124" s="2" t="s">
        <v>22</v>
      </c>
      <c r="F124" s="2" t="s">
        <v>55</v>
      </c>
      <c r="G124" s="2" t="n">
        <v>3</v>
      </c>
      <c r="H124" s="2" t="s">
        <v>70</v>
      </c>
      <c r="I124" s="2" t="s">
        <v>449</v>
      </c>
    </row>
    <row r="125" customFormat="false" ht="15" hidden="false" customHeight="false" outlineLevel="0" collapsed="false">
      <c r="A125" s="2" t="s">
        <v>450</v>
      </c>
      <c r="B125" s="2" t="s">
        <v>11</v>
      </c>
      <c r="C125" s="2" t="s">
        <v>73</v>
      </c>
      <c r="D125" s="2" t="s">
        <v>451</v>
      </c>
      <c r="E125" s="2" t="s">
        <v>22</v>
      </c>
      <c r="F125" s="2" t="s">
        <v>55</v>
      </c>
      <c r="G125" s="2" t="n">
        <v>3</v>
      </c>
      <c r="H125" s="2" t="s">
        <v>70</v>
      </c>
      <c r="I125" s="2" t="s">
        <v>452</v>
      </c>
    </row>
    <row r="126" customFormat="false" ht="15" hidden="false" customHeight="false" outlineLevel="0" collapsed="false">
      <c r="A126" s="2" t="s">
        <v>453</v>
      </c>
      <c r="B126" s="2" t="s">
        <v>11</v>
      </c>
      <c r="C126" s="2" t="s">
        <v>77</v>
      </c>
      <c r="D126" s="2" t="s">
        <v>454</v>
      </c>
      <c r="E126" s="2" t="s">
        <v>22</v>
      </c>
      <c r="F126" s="2" t="s">
        <v>55</v>
      </c>
      <c r="G126" s="2" t="n">
        <v>1</v>
      </c>
      <c r="H126" s="2" t="s">
        <v>70</v>
      </c>
      <c r="I126" s="2" t="s">
        <v>455</v>
      </c>
    </row>
    <row r="127" customFormat="false" ht="35.05" hidden="false" customHeight="false" outlineLevel="0" collapsed="false">
      <c r="A127" s="2" t="s">
        <v>456</v>
      </c>
      <c r="B127" s="2" t="s">
        <v>11</v>
      </c>
      <c r="C127" s="2" t="s">
        <v>189</v>
      </c>
      <c r="D127" s="2" t="s">
        <v>457</v>
      </c>
      <c r="E127" s="2" t="s">
        <v>22</v>
      </c>
      <c r="F127" s="2" t="s">
        <v>55</v>
      </c>
      <c r="G127" s="2" t="n">
        <v>1</v>
      </c>
      <c r="H127" s="2" t="s">
        <v>70</v>
      </c>
      <c r="I127" s="2" t="s">
        <v>458</v>
      </c>
    </row>
    <row r="128" customFormat="false" ht="15" hidden="false" customHeight="false" outlineLevel="0" collapsed="false">
      <c r="A128" s="2" t="s">
        <v>459</v>
      </c>
      <c r="B128" s="2" t="s">
        <v>11</v>
      </c>
      <c r="C128" s="2" t="s">
        <v>224</v>
      </c>
      <c r="D128" s="2" t="s">
        <v>460</v>
      </c>
      <c r="E128" s="2" t="s">
        <v>22</v>
      </c>
      <c r="F128" s="2" t="s">
        <v>55</v>
      </c>
      <c r="G128" s="2" t="n">
        <v>1</v>
      </c>
      <c r="H128" s="2" t="s">
        <v>70</v>
      </c>
      <c r="I128" s="2" t="s">
        <v>461</v>
      </c>
    </row>
    <row r="129" customFormat="false" ht="35.05" hidden="false" customHeight="false" outlineLevel="0" collapsed="false">
      <c r="A129" s="2" t="s">
        <v>462</v>
      </c>
      <c r="B129" s="2" t="s">
        <v>11</v>
      </c>
      <c r="C129" s="2" t="s">
        <v>224</v>
      </c>
      <c r="D129" s="2" t="s">
        <v>463</v>
      </c>
      <c r="E129" s="2" t="s">
        <v>22</v>
      </c>
      <c r="F129" s="2" t="s">
        <v>55</v>
      </c>
      <c r="G129" s="2" t="n">
        <v>1</v>
      </c>
      <c r="H129" s="2" t="s">
        <v>70</v>
      </c>
      <c r="I129" s="2" t="s">
        <v>464</v>
      </c>
    </row>
    <row r="130" customFormat="false" ht="23.85" hidden="false" customHeight="false" outlineLevel="0" collapsed="false">
      <c r="A130" s="2" t="s">
        <v>465</v>
      </c>
      <c r="B130" s="2" t="s">
        <v>11</v>
      </c>
      <c r="C130" s="2" t="s">
        <v>224</v>
      </c>
      <c r="D130" s="2" t="s">
        <v>466</v>
      </c>
      <c r="E130" s="2" t="s">
        <v>22</v>
      </c>
      <c r="F130" s="2" t="s">
        <v>55</v>
      </c>
      <c r="G130" s="2" t="n">
        <v>1</v>
      </c>
      <c r="H130" s="2" t="s">
        <v>70</v>
      </c>
      <c r="I130" s="2" t="s">
        <v>467</v>
      </c>
    </row>
    <row r="131" customFormat="false" ht="23.85" hidden="false" customHeight="false" outlineLevel="0" collapsed="false">
      <c r="A131" s="2" t="s">
        <v>468</v>
      </c>
      <c r="B131" s="2" t="s">
        <v>11</v>
      </c>
      <c r="C131" s="2" t="s">
        <v>224</v>
      </c>
      <c r="D131" s="2" t="s">
        <v>469</v>
      </c>
      <c r="E131" s="2" t="s">
        <v>22</v>
      </c>
      <c r="F131" s="2" t="s">
        <v>55</v>
      </c>
      <c r="G131" s="2" t="n">
        <v>1</v>
      </c>
      <c r="H131" s="2" t="s">
        <v>70</v>
      </c>
      <c r="I131" s="2" t="s">
        <v>470</v>
      </c>
    </row>
    <row r="132" customFormat="false" ht="35.05" hidden="false" customHeight="false" outlineLevel="0" collapsed="false">
      <c r="A132" s="2" t="s">
        <v>471</v>
      </c>
      <c r="B132" s="2" t="s">
        <v>11</v>
      </c>
      <c r="C132" s="2" t="s">
        <v>243</v>
      </c>
      <c r="D132" s="2" t="s">
        <v>472</v>
      </c>
      <c r="E132" s="2" t="s">
        <v>22</v>
      </c>
      <c r="F132" s="2" t="s">
        <v>55</v>
      </c>
      <c r="G132" s="2" t="n">
        <v>1</v>
      </c>
      <c r="H132" s="2" t="s">
        <v>70</v>
      </c>
      <c r="I132" s="2" t="s">
        <v>473</v>
      </c>
    </row>
    <row r="133" customFormat="false" ht="15" hidden="false" customHeight="false" outlineLevel="0" collapsed="false">
      <c r="A133" s="2" t="s">
        <v>474</v>
      </c>
      <c r="B133" s="2" t="s">
        <v>20</v>
      </c>
      <c r="C133" s="2" t="s">
        <v>85</v>
      </c>
      <c r="D133" s="2" t="s">
        <v>475</v>
      </c>
      <c r="E133" s="2" t="s">
        <v>22</v>
      </c>
      <c r="F133" s="2" t="s">
        <v>55</v>
      </c>
      <c r="G133" s="2" t="n">
        <v>1</v>
      </c>
      <c r="H133" s="2" t="s">
        <v>87</v>
      </c>
      <c r="I133" s="2" t="s">
        <v>476</v>
      </c>
    </row>
    <row r="134" customFormat="false" ht="15" hidden="false" customHeight="false" outlineLevel="0" collapsed="false">
      <c r="A134" s="2" t="s">
        <v>477</v>
      </c>
      <c r="B134" s="2" t="s">
        <v>20</v>
      </c>
      <c r="C134" s="2" t="s">
        <v>320</v>
      </c>
      <c r="D134" s="2" t="s">
        <v>478</v>
      </c>
      <c r="E134" s="2" t="s">
        <v>22</v>
      </c>
      <c r="F134" s="2" t="s">
        <v>55</v>
      </c>
      <c r="G134" s="2" t="n">
        <v>1</v>
      </c>
      <c r="H134" s="2" t="s">
        <v>87</v>
      </c>
      <c r="I134" s="2" t="s">
        <v>479</v>
      </c>
    </row>
    <row r="135" customFormat="false" ht="15" hidden="false" customHeight="false" outlineLevel="0" collapsed="false">
      <c r="A135" s="2" t="s">
        <v>480</v>
      </c>
      <c r="B135" s="2" t="s">
        <v>20</v>
      </c>
      <c r="C135" s="2" t="s">
        <v>90</v>
      </c>
      <c r="D135" s="2" t="s">
        <v>481</v>
      </c>
      <c r="E135" s="2" t="s">
        <v>22</v>
      </c>
      <c r="F135" s="2" t="s">
        <v>55</v>
      </c>
      <c r="G135" s="2" t="n">
        <v>4</v>
      </c>
      <c r="H135" s="2" t="s">
        <v>92</v>
      </c>
      <c r="I135" s="2" t="s">
        <v>482</v>
      </c>
    </row>
    <row r="136" customFormat="false" ht="35.05" hidden="false" customHeight="false" outlineLevel="0" collapsed="false">
      <c r="A136" s="2" t="s">
        <v>483</v>
      </c>
      <c r="B136" s="2" t="s">
        <v>20</v>
      </c>
      <c r="C136" s="2" t="s">
        <v>90</v>
      </c>
      <c r="D136" s="2" t="s">
        <v>484</v>
      </c>
      <c r="E136" s="2" t="s">
        <v>22</v>
      </c>
      <c r="F136" s="2" t="s">
        <v>55</v>
      </c>
      <c r="G136" s="2" t="n">
        <v>4</v>
      </c>
      <c r="H136" s="2" t="s">
        <v>92</v>
      </c>
      <c r="I136" s="2" t="s">
        <v>485</v>
      </c>
    </row>
    <row r="137" customFormat="false" ht="35.05" hidden="false" customHeight="false" outlineLevel="0" collapsed="false">
      <c r="A137" s="2" t="s">
        <v>486</v>
      </c>
      <c r="B137" s="2" t="s">
        <v>20</v>
      </c>
      <c r="C137" s="2" t="s">
        <v>90</v>
      </c>
      <c r="D137" s="2" t="s">
        <v>487</v>
      </c>
      <c r="E137" s="2" t="s">
        <v>22</v>
      </c>
      <c r="F137" s="2" t="s">
        <v>55</v>
      </c>
      <c r="G137" s="2" t="n">
        <v>2</v>
      </c>
      <c r="H137" s="2" t="s">
        <v>92</v>
      </c>
      <c r="I137" s="2" t="s">
        <v>488</v>
      </c>
    </row>
    <row r="138" customFormat="false" ht="15" hidden="false" customHeight="false" outlineLevel="0" collapsed="false">
      <c r="A138" s="2" t="s">
        <v>489</v>
      </c>
      <c r="B138" s="2" t="s">
        <v>20</v>
      </c>
      <c r="C138" s="2" t="s">
        <v>99</v>
      </c>
      <c r="D138" s="2" t="s">
        <v>490</v>
      </c>
      <c r="E138" s="2" t="s">
        <v>22</v>
      </c>
      <c r="F138" s="2" t="s">
        <v>55</v>
      </c>
      <c r="G138" s="2" t="n">
        <v>1</v>
      </c>
      <c r="H138" s="2" t="s">
        <v>92</v>
      </c>
      <c r="I138" s="2" t="s">
        <v>491</v>
      </c>
    </row>
    <row r="139" customFormat="false" ht="23.85" hidden="false" customHeight="false" outlineLevel="0" collapsed="false">
      <c r="A139" s="2" t="s">
        <v>492</v>
      </c>
      <c r="B139" s="2" t="s">
        <v>20</v>
      </c>
      <c r="C139" s="2" t="s">
        <v>401</v>
      </c>
      <c r="D139" s="2" t="s">
        <v>493</v>
      </c>
      <c r="E139" s="2" t="s">
        <v>22</v>
      </c>
      <c r="F139" s="2" t="s">
        <v>55</v>
      </c>
      <c r="G139" s="2" t="n">
        <v>3</v>
      </c>
      <c r="H139" s="2" t="s">
        <v>92</v>
      </c>
      <c r="I139" s="2" t="s">
        <v>494</v>
      </c>
    </row>
    <row r="140" customFormat="false" ht="35.05" hidden="false" customHeight="false" outlineLevel="0" collapsed="false">
      <c r="A140" s="2" t="s">
        <v>495</v>
      </c>
      <c r="B140" s="2" t="s">
        <v>29</v>
      </c>
      <c r="C140" s="2" t="s">
        <v>420</v>
      </c>
      <c r="D140" s="2" t="s">
        <v>496</v>
      </c>
      <c r="E140" s="2" t="s">
        <v>22</v>
      </c>
      <c r="F140" s="2" t="s">
        <v>55</v>
      </c>
      <c r="G140" s="2" t="n">
        <v>1</v>
      </c>
      <c r="H140" s="2" t="s">
        <v>56</v>
      </c>
      <c r="I140" s="2" t="s">
        <v>497</v>
      </c>
    </row>
    <row r="141" customFormat="false" ht="35.05" hidden="false" customHeight="false" outlineLevel="0" collapsed="false">
      <c r="A141" s="2" t="s">
        <v>498</v>
      </c>
      <c r="B141" s="2" t="s">
        <v>29</v>
      </c>
      <c r="C141" s="2" t="s">
        <v>52</v>
      </c>
      <c r="D141" s="2" t="s">
        <v>499</v>
      </c>
      <c r="E141" s="2" t="s">
        <v>500</v>
      </c>
      <c r="F141" s="2" t="s">
        <v>55</v>
      </c>
      <c r="G141" s="2" t="n">
        <v>1</v>
      </c>
      <c r="H141" s="2" t="s">
        <v>56</v>
      </c>
      <c r="I141" s="2" t="s">
        <v>501</v>
      </c>
    </row>
    <row r="142" customFormat="false" ht="23.85" hidden="false" customHeight="false" outlineLevel="0" collapsed="false">
      <c r="A142" s="2" t="s">
        <v>502</v>
      </c>
      <c r="B142" s="2" t="s">
        <v>29</v>
      </c>
      <c r="C142" s="2" t="s">
        <v>59</v>
      </c>
      <c r="D142" s="2" t="s">
        <v>503</v>
      </c>
      <c r="E142" s="2" t="s">
        <v>500</v>
      </c>
      <c r="F142" s="2" t="s">
        <v>55</v>
      </c>
      <c r="G142" s="2" t="n">
        <v>1</v>
      </c>
      <c r="H142" s="2" t="s">
        <v>56</v>
      </c>
      <c r="I142" s="2" t="s">
        <v>504</v>
      </c>
    </row>
    <row r="143" customFormat="false" ht="23.85" hidden="false" customHeight="false" outlineLevel="0" collapsed="false">
      <c r="A143" s="2" t="s">
        <v>505</v>
      </c>
      <c r="B143" s="2" t="s">
        <v>29</v>
      </c>
      <c r="C143" s="2" t="s">
        <v>124</v>
      </c>
      <c r="D143" s="2" t="s">
        <v>506</v>
      </c>
      <c r="E143" s="2" t="s">
        <v>500</v>
      </c>
      <c r="F143" s="2" t="s">
        <v>55</v>
      </c>
      <c r="G143" s="2" t="n">
        <v>1</v>
      </c>
      <c r="H143" s="2" t="s">
        <v>56</v>
      </c>
      <c r="I143" s="2" t="s">
        <v>507</v>
      </c>
    </row>
    <row r="144" customFormat="false" ht="23.85" hidden="false" customHeight="false" outlineLevel="0" collapsed="false">
      <c r="A144" s="2" t="s">
        <v>508</v>
      </c>
      <c r="B144" s="2" t="s">
        <v>11</v>
      </c>
      <c r="C144" s="2" t="s">
        <v>67</v>
      </c>
      <c r="D144" s="2" t="s">
        <v>509</v>
      </c>
      <c r="E144" s="2" t="s">
        <v>500</v>
      </c>
      <c r="F144" s="2" t="s">
        <v>55</v>
      </c>
      <c r="G144" s="2" t="n">
        <v>1</v>
      </c>
      <c r="H144" s="2" t="s">
        <v>70</v>
      </c>
      <c r="I144" s="2" t="s">
        <v>510</v>
      </c>
    </row>
    <row r="145" customFormat="false" ht="35.05" hidden="false" customHeight="false" outlineLevel="0" collapsed="false">
      <c r="A145" s="2" t="s">
        <v>511</v>
      </c>
      <c r="B145" s="2" t="s">
        <v>11</v>
      </c>
      <c r="C145" s="2" t="s">
        <v>73</v>
      </c>
      <c r="D145" s="2" t="s">
        <v>512</v>
      </c>
      <c r="E145" s="2" t="s">
        <v>500</v>
      </c>
      <c r="F145" s="2" t="s">
        <v>55</v>
      </c>
      <c r="G145" s="2" t="n">
        <v>1</v>
      </c>
      <c r="H145" s="2" t="s">
        <v>70</v>
      </c>
      <c r="I145" s="2" t="s">
        <v>513</v>
      </c>
    </row>
    <row r="146" customFormat="false" ht="23.85" hidden="false" customHeight="false" outlineLevel="0" collapsed="false">
      <c r="A146" s="2" t="s">
        <v>514</v>
      </c>
      <c r="B146" s="2" t="s">
        <v>11</v>
      </c>
      <c r="C146" s="2" t="s">
        <v>189</v>
      </c>
      <c r="D146" s="2" t="s">
        <v>515</v>
      </c>
      <c r="E146" s="2" t="s">
        <v>500</v>
      </c>
      <c r="F146" s="2" t="s">
        <v>55</v>
      </c>
      <c r="G146" s="2" t="n">
        <v>4</v>
      </c>
      <c r="H146" s="2" t="s">
        <v>70</v>
      </c>
      <c r="I146" s="2" t="s">
        <v>516</v>
      </c>
    </row>
    <row r="147" customFormat="false" ht="23.85" hidden="false" customHeight="false" outlineLevel="0" collapsed="false">
      <c r="A147" s="2" t="s">
        <v>517</v>
      </c>
      <c r="B147" s="2" t="s">
        <v>11</v>
      </c>
      <c r="C147" s="2" t="s">
        <v>189</v>
      </c>
      <c r="D147" s="2" t="s">
        <v>518</v>
      </c>
      <c r="E147" s="2" t="s">
        <v>500</v>
      </c>
      <c r="F147" s="2" t="s">
        <v>55</v>
      </c>
      <c r="G147" s="2" t="n">
        <v>1</v>
      </c>
      <c r="H147" s="2" t="s">
        <v>70</v>
      </c>
      <c r="I147" s="2" t="s">
        <v>519</v>
      </c>
    </row>
    <row r="148" customFormat="false" ht="23.85" hidden="false" customHeight="false" outlineLevel="0" collapsed="false">
      <c r="A148" s="2" t="s">
        <v>520</v>
      </c>
      <c r="B148" s="2" t="s">
        <v>11</v>
      </c>
      <c r="C148" s="2" t="s">
        <v>224</v>
      </c>
      <c r="D148" s="2" t="s">
        <v>521</v>
      </c>
      <c r="E148" s="2" t="s">
        <v>500</v>
      </c>
      <c r="F148" s="2" t="s">
        <v>55</v>
      </c>
      <c r="G148" s="2" t="n">
        <v>1</v>
      </c>
      <c r="H148" s="2" t="s">
        <v>70</v>
      </c>
      <c r="I148" s="2" t="s">
        <v>522</v>
      </c>
    </row>
    <row r="149" customFormat="false" ht="15" hidden="false" customHeight="false" outlineLevel="0" collapsed="false">
      <c r="A149" s="2" t="s">
        <v>523</v>
      </c>
      <c r="B149" s="2" t="s">
        <v>20</v>
      </c>
      <c r="C149" s="2" t="s">
        <v>320</v>
      </c>
      <c r="D149" s="2" t="s">
        <v>524</v>
      </c>
      <c r="E149" s="2" t="s">
        <v>500</v>
      </c>
      <c r="F149" s="2" t="s">
        <v>55</v>
      </c>
      <c r="G149" s="2" t="n">
        <v>7</v>
      </c>
      <c r="H149" s="2" t="s">
        <v>87</v>
      </c>
      <c r="I149" s="2" t="s">
        <v>525</v>
      </c>
    </row>
    <row r="150" customFormat="false" ht="23.85" hidden="false" customHeight="false" outlineLevel="0" collapsed="false">
      <c r="A150" s="2" t="s">
        <v>526</v>
      </c>
      <c r="B150" s="2" t="s">
        <v>20</v>
      </c>
      <c r="C150" s="2" t="s">
        <v>366</v>
      </c>
      <c r="D150" s="2" t="s">
        <v>527</v>
      </c>
      <c r="E150" s="2" t="s">
        <v>500</v>
      </c>
      <c r="F150" s="2" t="s">
        <v>55</v>
      </c>
      <c r="G150" s="2" t="n">
        <v>1</v>
      </c>
      <c r="H150" s="2" t="s">
        <v>92</v>
      </c>
      <c r="I150" s="2" t="s">
        <v>528</v>
      </c>
    </row>
    <row r="151" customFormat="false" ht="23.85" hidden="false" customHeight="false" outlineLevel="0" collapsed="false">
      <c r="A151" s="2" t="s">
        <v>529</v>
      </c>
      <c r="B151" s="2" t="s">
        <v>20</v>
      </c>
      <c r="C151" s="2" t="s">
        <v>366</v>
      </c>
      <c r="D151" s="2" t="s">
        <v>530</v>
      </c>
      <c r="E151" s="2" t="s">
        <v>500</v>
      </c>
      <c r="F151" s="2" t="s">
        <v>55</v>
      </c>
      <c r="G151" s="2" t="n">
        <v>1</v>
      </c>
      <c r="H151" s="2" t="s">
        <v>92</v>
      </c>
      <c r="I151" s="2" t="s">
        <v>531</v>
      </c>
    </row>
    <row r="152" customFormat="false" ht="23.85" hidden="false" customHeight="false" outlineLevel="0" collapsed="false">
      <c r="A152" s="2" t="s">
        <v>532</v>
      </c>
      <c r="B152" s="2" t="s">
        <v>20</v>
      </c>
      <c r="C152" s="2" t="s">
        <v>379</v>
      </c>
      <c r="D152" s="2" t="s">
        <v>533</v>
      </c>
      <c r="E152" s="2" t="s">
        <v>500</v>
      </c>
      <c r="F152" s="2" t="s">
        <v>55</v>
      </c>
      <c r="G152" s="2" t="n">
        <v>1</v>
      </c>
      <c r="H152" s="2" t="s">
        <v>92</v>
      </c>
      <c r="I152" s="2" t="s">
        <v>534</v>
      </c>
    </row>
    <row r="153" customFormat="false" ht="23.85" hidden="false" customHeight="false" outlineLevel="0" collapsed="false">
      <c r="A153" s="2" t="s">
        <v>535</v>
      </c>
      <c r="B153" s="2" t="s">
        <v>29</v>
      </c>
      <c r="C153" s="2" t="s">
        <v>420</v>
      </c>
      <c r="D153" s="2" t="s">
        <v>536</v>
      </c>
      <c r="E153" s="2" t="s">
        <v>500</v>
      </c>
      <c r="F153" s="2" t="s">
        <v>55</v>
      </c>
      <c r="G153" s="2" t="n">
        <v>1</v>
      </c>
      <c r="H153" s="2" t="s">
        <v>56</v>
      </c>
      <c r="I153" s="2" t="s">
        <v>537</v>
      </c>
    </row>
    <row r="154" customFormat="false" ht="15" hidden="false" customHeight="false" outlineLevel="0" collapsed="false">
      <c r="A154" s="2" t="s">
        <v>538</v>
      </c>
      <c r="B154" s="2" t="s">
        <v>11</v>
      </c>
      <c r="C154" s="2" t="s">
        <v>539</v>
      </c>
      <c r="D154" s="2" t="s">
        <v>540</v>
      </c>
      <c r="E154" s="2" t="s">
        <v>541</v>
      </c>
      <c r="F154" s="2" t="s">
        <v>542</v>
      </c>
      <c r="G154" s="2" t="n">
        <v>18</v>
      </c>
      <c r="H154" s="2" t="s">
        <v>543</v>
      </c>
      <c r="I154" s="2" t="s">
        <v>18</v>
      </c>
    </row>
    <row r="155" customFormat="false" ht="15" hidden="false" customHeight="false" outlineLevel="0" collapsed="false">
      <c r="A155" s="2" t="s">
        <v>544</v>
      </c>
      <c r="B155" s="2" t="s">
        <v>20</v>
      </c>
      <c r="C155" s="2" t="s">
        <v>539</v>
      </c>
      <c r="D155" s="2" t="s">
        <v>545</v>
      </c>
      <c r="E155" s="2" t="s">
        <v>541</v>
      </c>
      <c r="F155" s="2" t="s">
        <v>542</v>
      </c>
      <c r="G155" s="2" t="n">
        <v>8</v>
      </c>
      <c r="H155" s="2" t="s">
        <v>543</v>
      </c>
      <c r="I155" s="2" t="s">
        <v>27</v>
      </c>
    </row>
    <row r="156" customFormat="false" ht="15" hidden="false" customHeight="false" outlineLevel="0" collapsed="false">
      <c r="A156" s="2" t="s">
        <v>546</v>
      </c>
      <c r="B156" s="2" t="s">
        <v>29</v>
      </c>
      <c r="C156" s="2" t="s">
        <v>539</v>
      </c>
      <c r="D156" s="2" t="s">
        <v>547</v>
      </c>
      <c r="E156" s="2" t="s">
        <v>541</v>
      </c>
      <c r="F156" s="2" t="s">
        <v>542</v>
      </c>
      <c r="G156" s="2" t="n">
        <v>8</v>
      </c>
      <c r="H156" s="2" t="s">
        <v>543</v>
      </c>
      <c r="I156" s="2" t="s">
        <v>35</v>
      </c>
    </row>
    <row r="157" customFormat="false" ht="15" hidden="false" customHeight="false" outlineLevel="0" collapsed="false">
      <c r="A157" s="2" t="s">
        <v>548</v>
      </c>
      <c r="B157" s="2" t="s">
        <v>20</v>
      </c>
      <c r="C157" s="2" t="s">
        <v>539</v>
      </c>
      <c r="D157" s="2" t="s">
        <v>549</v>
      </c>
      <c r="E157" s="2" t="s">
        <v>541</v>
      </c>
      <c r="F157" s="2" t="s">
        <v>542</v>
      </c>
      <c r="G157" s="2" t="n">
        <v>8</v>
      </c>
      <c r="H157" s="2" t="s">
        <v>543</v>
      </c>
      <c r="I157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550</v>
      </c>
      <c r="B1" s="1" t="s">
        <v>551</v>
      </c>
    </row>
    <row r="2" customFormat="false" ht="15" hidden="false" customHeight="false" outlineLevel="0" collapsed="false">
      <c r="A2" s="2" t="s">
        <v>552</v>
      </c>
      <c r="B2" s="2" t="n">
        <f aca="false">COUNTA('Automated Test Index'!A2:A157)</f>
        <v>156</v>
      </c>
    </row>
    <row r="3" customFormat="false" ht="15" hidden="false" customHeight="false" outlineLevel="0" collapsed="false">
      <c r="A3" s="2" t="s">
        <v>553</v>
      </c>
      <c r="B3" s="2" t="n">
        <f aca="false">SUM('Automated Test Index'!G2:G157)</f>
        <v>239</v>
      </c>
    </row>
    <row r="4" customFormat="false" ht="15" hidden="false" customHeight="false" outlineLevel="0" collapsed="false">
      <c r="A4" s="2" t="s">
        <v>554</v>
      </c>
      <c r="B4" s="2" t="n">
        <f aca="false">SUMIFS('Automated Test Index'!G2:G157,'Automated Test Index'!B2:B157,"tinydb/utils.py")</f>
        <v>92</v>
      </c>
    </row>
    <row r="5" customFormat="false" ht="15" hidden="false" customHeight="false" outlineLevel="0" collapsed="false">
      <c r="A5" s="2" t="s">
        <v>555</v>
      </c>
      <c r="B5" s="2" t="n">
        <f aca="false">SUMIFS('Automated Test Index'!G2:G157,'Automated Test Index'!B2:B157,"tinydb/queries.py")</f>
        <v>103</v>
      </c>
    </row>
    <row r="6" customFormat="false" ht="15" hidden="false" customHeight="false" outlineLevel="0" collapsed="false">
      <c r="A6" s="2" t="s">
        <v>556</v>
      </c>
      <c r="B6" s="2" t="n">
        <f aca="false">SUMIFS('Automated Test Index'!G2:G157,'Automated Test Index'!B2:B157,"tinydb/middlewares.py")</f>
        <v>44</v>
      </c>
    </row>
    <row r="7" customFormat="false" ht="15" hidden="false" customHeight="false" outlineLevel="0" collapsed="false">
      <c r="A7" s="2" t="s">
        <v>557</v>
      </c>
      <c r="B7" s="2" t="n">
        <f aca="false">SUMIFS('Automated Test Index'!G2:G157,'Automated Test Index'!F2:F157,"CSV file")</f>
        <v>42</v>
      </c>
    </row>
    <row r="8" customFormat="false" ht="15" hidden="false" customHeight="false" outlineLevel="0" collapsed="false">
      <c r="A8" s="2" t="s">
        <v>558</v>
      </c>
      <c r="B8" s="2" t="n">
        <f aca="false">COUNTA('Test Cases'!A2:A5)</f>
        <v>4</v>
      </c>
    </row>
    <row r="10" customFormat="false" ht="15" hidden="false" customHeight="false" outlineLevel="0" collapsed="false">
      <c r="A10" s="3" t="s">
        <v>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2026-10-20T04:17:45Z</dcterms:created>
  <dc:creator>openpyxl</dc:creator>
  <dc:description/>
  <dc:language>en-US</dc:language>
  <cp:lastModifiedBy/>
  <dcterms:modified xsi:type="dcterms:W3CDTF">2026-10-20T04:17:45Z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